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workbookProtection lockStructure="1"/>
  <bookViews>
    <workbookView xWindow="0" yWindow="0" windowWidth="25600" windowHeight="14340" tabRatio="690" activeTab="6"/>
  </bookViews>
  <sheets>
    <sheet name="Order_Input" sheetId="6" r:id="rId1"/>
    <sheet name="MasterSchedule" sheetId="1" r:id="rId2"/>
    <sheet name="Ingredient_Inventory" sheetId="2" r:id="rId3"/>
    <sheet name="COTM" sheetId="7" r:id="rId4"/>
    <sheet name="Buyer_Sheet" sheetId="5" r:id="rId5"/>
    <sheet name="Cookie_Inventory" sheetId="3" r:id="rId6"/>
    <sheet name="Baking_Schedule" sheetId="4" r:id="rId7"/>
    <sheet name="Materials_Inventory" sheetId="9" r:id="rId8"/>
    <sheet name="Package_Schedule" sheetId="11" r:id="rId9"/>
    <sheet name="Ship_Schedule" sheetId="12" r:id="rId10"/>
    <sheet name="Invoice_Schedule" sheetId="8" r:id="rId11"/>
    <sheet name="Archive" sheetId="14" r:id="rId12"/>
  </sheets>
  <externalReferences>
    <externalReference r:id="rId13"/>
    <externalReference r:id="rId14"/>
  </externalReferences>
  <definedNames>
    <definedName name="archive_matrix">Archive!$E$6:$E$42</definedName>
    <definedName name="available_cookie_inventory">Cookie_Inventory!$F$5:$F$26</definedName>
    <definedName name="available_matrix">Cookie_Inventory!$F$5:$F$26</definedName>
    <definedName name="baked_options">[1]Sheet1!$C$1:$C$9</definedName>
    <definedName name="baking_available_cookies">Baking_Schedule!$E$39:$E$60</definedName>
    <definedName name="baking_batch_array">Baking_Schedule!$J$39:$J$60</definedName>
    <definedName name="baking_cookie_shape">Baking_Schedule!$C$38</definedName>
    <definedName name="baking_due_date_array">Baking_Schedule!$J$2:$Y$2</definedName>
    <definedName name="Baking_reserved_cookies">Baking_Schedule!$C$39:$C$60</definedName>
    <definedName name="Baking_reserved_pucks">Baking_Schedule!$D$39:$D$60</definedName>
    <definedName name="Baking_schedule_matrix">Baking_Schedule!$J$2:$Y$29</definedName>
    <definedName name="batches_made">Baking_Schedule!#REF!</definedName>
    <definedName name="Company_Name">MasterSchedule!$C$8</definedName>
    <definedName name="cookie_range">MasterSchedule!$C$11:$C$33</definedName>
    <definedName name="cookie_shape">Baking_Schedule!$C$38</definedName>
    <definedName name="cookie_type">Baking_Schedule!$D$34</definedName>
    <definedName name="cookies">[1]Sheet1!$C$1:$C$9</definedName>
    <definedName name="cotm_column">Ingredient_Inventory!$R$13:$R$58</definedName>
    <definedName name="cotm_header">COTM!$D$11:$N$11</definedName>
    <definedName name="cotm_key">COTM!$B$11</definedName>
    <definedName name="cotm_matrix">COTM!$D$12:$N$57</definedName>
    <definedName name="cotm_name">Ingredient_Inventory!$R$8</definedName>
    <definedName name="cotm_ounces">Ingredient_Inventory!$R$10</definedName>
    <definedName name="data_input">MasterSchedule!$C$7:$C$34</definedName>
    <definedName name="date_matrix">MasterSchedule!$F$7:$G$7</definedName>
    <definedName name="dough_ounces">Ingredient_Inventory!$D$9:$X$9</definedName>
    <definedName name="Due_Date">MasterSchedule!$C$7</definedName>
    <definedName name="flavor">[1]Sheet1!$C$1:$C$9</definedName>
    <definedName name="frozen_options">[1]Sheet1!$C$1:$C$9</definedName>
    <definedName name="ingredient_matrix">Ingredient_Inventory!$D$13:$Y$58</definedName>
    <definedName name="input_address">Order_Input!$C$13</definedName>
    <definedName name="Input_Company">Order_Input!$C$7</definedName>
    <definedName name="Input_cookie_size">Order_Input!$C$15</definedName>
    <definedName name="Input_Cookie_Type_Array">Order_Input!$C$16:$C$37</definedName>
    <definedName name="Input_Date_Ordered">Order_Input!$C$10</definedName>
    <definedName name="Input_Due_Date">Order_Input!$C$5</definedName>
    <definedName name="Input_Email">Order_Input!$C$9</definedName>
    <definedName name="input_message">Order_Input!$C$39</definedName>
    <definedName name="Input_Method">Order_Input!$C$11</definedName>
    <definedName name="Input_Name">Order_Input!$C$6</definedName>
    <definedName name="input_order_data">Order_Input!$C$5:$C$40</definedName>
    <definedName name="input_order_type">Order_Input!$C$14</definedName>
    <definedName name="Input_Phone">Order_Input!$C$8</definedName>
    <definedName name="input_special">Order_Input!$C$40</definedName>
    <definedName name="input_sum">Order_Input!$C$38</definedName>
    <definedName name="input_to_name">Order_Input!$C$12</definedName>
    <definedName name="Inventory">Buyer_Sheet!$D$7:$D$52</definedName>
    <definedName name="inventory_available_cookie">Cookie_Inventory!$F$5:$F$26</definedName>
    <definedName name="inventory_available_cookies">Cookie_Inventory!$F$5:$F$26</definedName>
    <definedName name="inventory_reserved_cookie">Cookie_Inventory!$D$5:$F$26</definedName>
    <definedName name="inventory_reserved_cookies">Cookie_Inventory!$D$5:$D$26</definedName>
    <definedName name="inventory_reserved_pucks">Cookie_Inventory!$E$5:$E$26</definedName>
    <definedName name="invoice_schedule_header">Invoice_Schedule!$D$6</definedName>
    <definedName name="invoice_schedule_matrix">Invoice_Schedule!$D$6:$D$42</definedName>
    <definedName name="invoice_status_finish">Invoice_Schedule!$C$4</definedName>
    <definedName name="invoice_status_start">Invoice_Schedule!$C$3</definedName>
    <definedName name="master_due_date_array">MasterSchedule!$E$7</definedName>
    <definedName name="master_orders_matrix">MasterSchedule!$E$7:$E$43</definedName>
    <definedName name="Materials_Inventory">Materials_Inventory!$E$7:$E$49</definedName>
    <definedName name="Materials_Inventory_Change">Materials_Inventory!$G$7:$G$49</definedName>
    <definedName name="new_inventory">Buyer_Sheet!$M$7:$M$52</definedName>
    <definedName name="nextweek_dates">MasterSchedule!$H$7:$L$7</definedName>
    <definedName name="nextweek_ounces">MasterSchedule!$H$17:$L$17</definedName>
    <definedName name="num_available">Baking_Schedule!$D$36</definedName>
    <definedName name="num_available_packaged">Buyer_Sheet!#REF!</definedName>
    <definedName name="num_reserved">Baking_Schedule!#REF!</definedName>
    <definedName name="num_reserved_packaged">Buyer_Sheet!#REF!</definedName>
    <definedName name="Order_Size">MasterSchedule!$C$9</definedName>
    <definedName name="orders_matrix">[2]QMasterSchedule!$E$7:$E$41</definedName>
    <definedName name="ounce_per_batch_array">Ingredient_Inventory!$D$10:$Y$10</definedName>
    <definedName name="package_status_finish">Package_Schedule!$D$4</definedName>
    <definedName name="package_status_start">Package_Schedule!$D$3</definedName>
    <definedName name="packaged_cookie_shape">Buyer_Sheet!#REF!</definedName>
    <definedName name="packaged_cookie_type">Buyer_Sheet!#REF!</definedName>
    <definedName name="packaging_schedule_header">Package_Schedule!$E$6</definedName>
    <definedName name="packaging_schedule_matrix">Package_Schedule!$E$6:$E$42</definedName>
    <definedName name="_xlnm.Print_Area" localSheetId="2">Buyer_Sheet!$G$6:$I$48</definedName>
    <definedName name="Purchase_Update">Buyer_Sheet!$J$7:$J$52</definedName>
    <definedName name="Purchased">Cookie_Inventory!$M$48:$M$87</definedName>
    <definedName name="range2">MasterSchedule!$B$5:$E$7</definedName>
    <definedName name="reserved_cookie_inventory">Cookie_Inventory!$D$5:$F$26</definedName>
    <definedName name="reserved_cookie_shapes">Cookie_Inventory!$D$4:$E$4</definedName>
    <definedName name="reserved_cookie_types">Cookie_Inventory!#REF!</definedName>
    <definedName name="reserved_matrix">Cookie_Inventory!$D$5:$F$26</definedName>
    <definedName name="shapes">[1]Sheet1!$J$3:$J$6</definedName>
    <definedName name="ship_status_finish">Ship_Schedule!$D$3</definedName>
    <definedName name="ship_status_start">Ship_Schedule!$D$2</definedName>
    <definedName name="shipping_schedule_header">Ship_Schedule!$E$5:$G$5</definedName>
    <definedName name="shipping_schedule_matrix">Ship_Schedule!$E$5:$G$41</definedName>
    <definedName name="Shop_List">Buyer_Sheet!$G$7:$G$48</definedName>
    <definedName name="size">[1]Sheet1!$J$3:$J$6</definedName>
    <definedName name="size_options">[1]Sheet1!$C$1:$C$9</definedName>
    <definedName name="Temp">MasterSchedule!$C$10</definedName>
    <definedName name="test">Invoice_Schedule!$A$3:$C$10</definedName>
    <definedName name="test_header">Invoice_Schedule!$K$7:$N$7</definedName>
    <definedName name="test_range">Invoice_Schedule!$K$7:$N$8</definedName>
    <definedName name="thisweek_batch">Ingredient_Inventory!$D$11:$Y$11</definedName>
    <definedName name="to_bake_cookie_shapes">Baking_Schedule!$I$37:$L$37</definedName>
    <definedName name="to_bake_cookie_types">Baking_Schedule!$H$38:$H$59</definedName>
    <definedName name="user_input_data">MasterSchedule!$C$7:$C$33</definedName>
    <definedName name="weekly_ounces">MasterSchedule!$B$2:$B$4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8" i="6" l="1"/>
  <c r="C10" i="6"/>
  <c r="M49" i="5"/>
  <c r="M50" i="5"/>
  <c r="M51" i="5"/>
  <c r="M52" i="5"/>
  <c r="E27" i="3"/>
  <c r="D27" i="3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66" i="2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7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F9" i="5"/>
  <c r="F27" i="3"/>
  <c r="H9" i="4"/>
  <c r="E9" i="4"/>
  <c r="F9" i="4"/>
  <c r="G9" i="4"/>
  <c r="H10" i="4"/>
  <c r="E10" i="4"/>
  <c r="F10" i="4"/>
  <c r="G10" i="4"/>
  <c r="H11" i="4"/>
  <c r="E11" i="4"/>
  <c r="F11" i="4"/>
  <c r="G11" i="4"/>
  <c r="H12" i="4"/>
  <c r="E12" i="4"/>
  <c r="F12" i="4"/>
  <c r="G12" i="4"/>
  <c r="H13" i="4"/>
  <c r="E13" i="4"/>
  <c r="F13" i="4"/>
  <c r="G13" i="4"/>
  <c r="H14" i="4"/>
  <c r="E14" i="4"/>
  <c r="F14" i="4"/>
  <c r="G14" i="4"/>
  <c r="H15" i="4"/>
  <c r="E15" i="4"/>
  <c r="F15" i="4"/>
  <c r="G15" i="4"/>
  <c r="H16" i="4"/>
  <c r="E16" i="4"/>
  <c r="F16" i="4"/>
  <c r="G16" i="4"/>
  <c r="H17" i="4"/>
  <c r="E17" i="4"/>
  <c r="F17" i="4"/>
  <c r="G17" i="4"/>
  <c r="H18" i="4"/>
  <c r="E18" i="4"/>
  <c r="F18" i="4"/>
  <c r="G18" i="4"/>
  <c r="H19" i="4"/>
  <c r="E19" i="4"/>
  <c r="F19" i="4"/>
  <c r="G19" i="4"/>
  <c r="H20" i="4"/>
  <c r="E20" i="4"/>
  <c r="F20" i="4"/>
  <c r="G20" i="4"/>
  <c r="H21" i="4"/>
  <c r="E21" i="4"/>
  <c r="F21" i="4"/>
  <c r="G21" i="4"/>
  <c r="H22" i="4"/>
  <c r="E22" i="4"/>
  <c r="F22" i="4"/>
  <c r="G22" i="4"/>
  <c r="H23" i="4"/>
  <c r="E23" i="4"/>
  <c r="F23" i="4"/>
  <c r="G23" i="4"/>
  <c r="H24" i="4"/>
  <c r="E24" i="4"/>
  <c r="F24" i="4"/>
  <c r="G24" i="4"/>
  <c r="H25" i="4"/>
  <c r="E25" i="4"/>
  <c r="F25" i="4"/>
  <c r="G25" i="4"/>
  <c r="H26" i="4"/>
  <c r="E26" i="4"/>
  <c r="F26" i="4"/>
  <c r="G26" i="4"/>
  <c r="H27" i="4"/>
  <c r="E27" i="4"/>
  <c r="F27" i="4"/>
  <c r="G27" i="4"/>
  <c r="H28" i="4"/>
  <c r="E28" i="4"/>
  <c r="F28" i="4"/>
  <c r="G28" i="4"/>
  <c r="H29" i="4"/>
  <c r="E29" i="4"/>
  <c r="F29" i="4"/>
  <c r="G29" i="4"/>
  <c r="H8" i="4"/>
  <c r="E8" i="4"/>
  <c r="F8" i="4"/>
  <c r="G8" i="4"/>
  <c r="E10" i="6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32" i="2"/>
  <c r="D9" i="2" a="1"/>
  <c r="X9" i="2"/>
  <c r="Y11" i="2"/>
  <c r="W9" i="2"/>
  <c r="X11" i="2"/>
  <c r="V9" i="2"/>
  <c r="W11" i="2"/>
  <c r="U9" i="2"/>
  <c r="V11" i="2"/>
  <c r="T9" i="2"/>
  <c r="U11" i="2"/>
  <c r="S9" i="2"/>
  <c r="T11" i="2"/>
  <c r="R9" i="2"/>
  <c r="S11" i="2"/>
  <c r="Q9" i="2"/>
  <c r="Q11" i="2"/>
  <c r="P9" i="2"/>
  <c r="P11" i="2"/>
  <c r="O9" i="2"/>
  <c r="O11" i="2"/>
  <c r="N9" i="2"/>
  <c r="N11" i="2"/>
  <c r="M9" i="2"/>
  <c r="M11" i="2"/>
  <c r="L9" i="2"/>
  <c r="L11" i="2"/>
  <c r="K9" i="2"/>
  <c r="K11" i="2"/>
  <c r="J9" i="2"/>
  <c r="J11" i="2"/>
  <c r="I9" i="2"/>
  <c r="I11" i="2"/>
  <c r="H9" i="2"/>
  <c r="H11" i="2"/>
  <c r="G9" i="2"/>
  <c r="G11" i="2"/>
  <c r="F9" i="2"/>
  <c r="F11" i="2"/>
  <c r="E9" i="2"/>
  <c r="E11" i="2"/>
  <c r="D9" i="2"/>
  <c r="D11" i="2"/>
  <c r="R11" i="2"/>
  <c r="Y9" i="2"/>
  <c r="C7" i="5"/>
  <c r="G7" i="5"/>
  <c r="C52" i="5"/>
  <c r="G52" i="5"/>
  <c r="C51" i="5"/>
  <c r="G51" i="5"/>
  <c r="C50" i="5"/>
  <c r="G50" i="5"/>
  <c r="C49" i="5"/>
  <c r="G49" i="5"/>
  <c r="C48" i="5"/>
  <c r="G48" i="5"/>
  <c r="C47" i="5"/>
  <c r="G47" i="5"/>
  <c r="C46" i="5"/>
  <c r="G46" i="5"/>
  <c r="C45" i="5"/>
  <c r="G45" i="5"/>
  <c r="C44" i="5"/>
  <c r="G44" i="5"/>
  <c r="C43" i="5"/>
  <c r="G43" i="5"/>
  <c r="C42" i="5"/>
  <c r="G42" i="5"/>
  <c r="C41" i="5"/>
  <c r="G41" i="5"/>
  <c r="C40" i="5"/>
  <c r="G40" i="5"/>
  <c r="C39" i="5"/>
  <c r="G39" i="5"/>
  <c r="C38" i="5"/>
  <c r="G38" i="5"/>
  <c r="C37" i="5"/>
  <c r="G37" i="5"/>
  <c r="C36" i="5"/>
  <c r="G36" i="5"/>
  <c r="C35" i="5"/>
  <c r="G35" i="5"/>
  <c r="C34" i="5"/>
  <c r="G34" i="5"/>
  <c r="C33" i="5"/>
  <c r="G33" i="5"/>
  <c r="C32" i="5"/>
  <c r="G32" i="5"/>
  <c r="C31" i="5"/>
  <c r="G31" i="5"/>
  <c r="C30" i="5"/>
  <c r="G30" i="5"/>
  <c r="C29" i="5"/>
  <c r="G29" i="5"/>
  <c r="C28" i="5"/>
  <c r="G28" i="5"/>
  <c r="C27" i="5"/>
  <c r="G27" i="5"/>
  <c r="C26" i="5"/>
  <c r="G26" i="5"/>
  <c r="C25" i="5"/>
  <c r="G25" i="5"/>
  <c r="C24" i="5"/>
  <c r="G24" i="5"/>
  <c r="C23" i="5"/>
  <c r="G23" i="5"/>
  <c r="C22" i="5"/>
  <c r="G22" i="5"/>
  <c r="C21" i="5"/>
  <c r="G21" i="5"/>
  <c r="C20" i="5"/>
  <c r="G20" i="5"/>
  <c r="C19" i="5"/>
  <c r="G19" i="5"/>
  <c r="C18" i="5"/>
  <c r="G18" i="5"/>
  <c r="C17" i="5"/>
  <c r="G17" i="5"/>
  <c r="C16" i="5"/>
  <c r="G16" i="5"/>
  <c r="C15" i="5"/>
  <c r="G15" i="5"/>
  <c r="C14" i="5"/>
  <c r="G14" i="5"/>
  <c r="C13" i="5"/>
  <c r="G13" i="5"/>
  <c r="C12" i="5"/>
  <c r="G12" i="5"/>
  <c r="C11" i="5"/>
  <c r="G11" i="5"/>
  <c r="C10" i="5"/>
  <c r="G10" i="5"/>
  <c r="C9" i="5"/>
  <c r="G9" i="5"/>
  <c r="C8" i="5"/>
  <c r="G8" i="5"/>
</calcChain>
</file>

<file path=xl/sharedStrings.xml><?xml version="1.0" encoding="utf-8"?>
<sst xmlns="http://schemas.openxmlformats.org/spreadsheetml/2006/main" count="1291" uniqueCount="295">
  <si>
    <t>CC</t>
  </si>
  <si>
    <t>OR</t>
  </si>
  <si>
    <t>Baked</t>
  </si>
  <si>
    <t>PB</t>
  </si>
  <si>
    <t>Input Data here</t>
  </si>
  <si>
    <t>WCC</t>
  </si>
  <si>
    <t>AC</t>
  </si>
  <si>
    <t>FS</t>
  </si>
  <si>
    <t>SD</t>
  </si>
  <si>
    <t>MG</t>
  </si>
  <si>
    <t>TCO</t>
  </si>
  <si>
    <t>CAO</t>
  </si>
  <si>
    <t>OB</t>
  </si>
  <si>
    <t>DC</t>
  </si>
  <si>
    <t>CPB</t>
  </si>
  <si>
    <t>BK</t>
  </si>
  <si>
    <t>COTM</t>
  </si>
  <si>
    <t>GF CC</t>
  </si>
  <si>
    <t>GF WCC</t>
  </si>
  <si>
    <t>GF AC</t>
  </si>
  <si>
    <t>GF DC</t>
  </si>
  <si>
    <t>GF MG</t>
  </si>
  <si>
    <t>GF BK</t>
  </si>
  <si>
    <t>Company Name</t>
  </si>
  <si>
    <t>GF TCO</t>
  </si>
  <si>
    <t>Required oz this wk</t>
  </si>
  <si>
    <t>Oz/Batch</t>
  </si>
  <si>
    <t>Flour</t>
  </si>
  <si>
    <t>Canola</t>
  </si>
  <si>
    <t>Butter</t>
  </si>
  <si>
    <t>Cocoa</t>
  </si>
  <si>
    <t>Salt</t>
  </si>
  <si>
    <t>Eggs</t>
  </si>
  <si>
    <t>Brown Sugar</t>
  </si>
  <si>
    <t>White Sugar</t>
  </si>
  <si>
    <t>Tapioca Flour</t>
  </si>
  <si>
    <t>Almond Flour</t>
  </si>
  <si>
    <t>White Rice Flour</t>
  </si>
  <si>
    <t>Peanut Butter</t>
  </si>
  <si>
    <t>Oatmeal</t>
  </si>
  <si>
    <t>Molasses</t>
  </si>
  <si>
    <t>Cream of Tartar</t>
  </si>
  <si>
    <t>Cinnamon</t>
  </si>
  <si>
    <t>Ginger</t>
  </si>
  <si>
    <t>Dark Choc Chips</t>
  </si>
  <si>
    <t>Butterscotch</t>
  </si>
  <si>
    <t>Milk Chip</t>
  </si>
  <si>
    <t>Peanut Chip</t>
  </si>
  <si>
    <t>White Chip</t>
  </si>
  <si>
    <t>Caramel</t>
  </si>
  <si>
    <t>Coconut</t>
  </si>
  <si>
    <t>Almonds</t>
  </si>
  <si>
    <t>Vanilla</t>
  </si>
  <si>
    <t>Apple</t>
  </si>
  <si>
    <t>Turbinado</t>
  </si>
  <si>
    <t>Pecans</t>
  </si>
  <si>
    <t>sumproducts from previous sheet:</t>
  </si>
  <si>
    <t>Baking Soda</t>
  </si>
  <si>
    <t>Baking Powder</t>
  </si>
  <si>
    <t>Xanthan Gum</t>
  </si>
  <si>
    <t>Semi Chocolate Chip</t>
  </si>
  <si>
    <t>Craisin</t>
  </si>
  <si>
    <t>Raisin</t>
  </si>
  <si>
    <t>Extract of Almond</t>
  </si>
  <si>
    <t>Extract of Coconut</t>
  </si>
  <si>
    <t>lbs.</t>
  </si>
  <si>
    <t>fluid oz.</t>
  </si>
  <si>
    <t>sticks</t>
  </si>
  <si>
    <t>tsp.</t>
  </si>
  <si>
    <t>oz.</t>
  </si>
  <si>
    <t>Units</t>
  </si>
  <si>
    <t>Powdered Sugar</t>
  </si>
  <si>
    <t>Milk</t>
  </si>
  <si>
    <t>cups</t>
  </si>
  <si>
    <t>Gluten Free Oats</t>
  </si>
  <si>
    <t>COA</t>
  </si>
  <si>
    <t>50 lb bag</t>
  </si>
  <si>
    <t>40 oz jar</t>
  </si>
  <si>
    <t>apples</t>
  </si>
  <si>
    <t>2 lb bag</t>
  </si>
  <si>
    <t>Item</t>
  </si>
  <si>
    <t>Required batch this wk:</t>
  </si>
  <si>
    <t>single</t>
  </si>
  <si>
    <t>30 lb box</t>
  </si>
  <si>
    <t>one gallon jar</t>
  </si>
  <si>
    <t>bottles to cups</t>
  </si>
  <si>
    <t>gallon to cups</t>
  </si>
  <si>
    <t>bag to cups</t>
  </si>
  <si>
    <t>no change</t>
  </si>
  <si>
    <t>box to oz</t>
  </si>
  <si>
    <t>Available</t>
  </si>
  <si>
    <t>safety stock addition</t>
  </si>
  <si>
    <t>Master Schedule</t>
  </si>
  <si>
    <t>48 fl oz bottle</t>
  </si>
  <si>
    <t>16 oz box</t>
  </si>
  <si>
    <t>8.1 oz box</t>
  </si>
  <si>
    <t>26 oz box</t>
  </si>
  <si>
    <t>60 pack</t>
  </si>
  <si>
    <t>1 lb box</t>
  </si>
  <si>
    <t>25 lb box</t>
  </si>
  <si>
    <t>20 lb box</t>
  </si>
  <si>
    <t>64 fl oz</t>
  </si>
  <si>
    <t>22 lb box</t>
  </si>
  <si>
    <t>16 oz bag</t>
  </si>
  <si>
    <t>Peanut Butter Chip</t>
  </si>
  <si>
    <t>14 oz box</t>
  </si>
  <si>
    <t>8 fl oz bottle</t>
  </si>
  <si>
    <t>16 fl oz bottle</t>
  </si>
  <si>
    <t>1 fl oz bottle</t>
  </si>
  <si>
    <t>oz</t>
  </si>
  <si>
    <t>tsp</t>
  </si>
  <si>
    <t>in</t>
  </si>
  <si>
    <t>times</t>
  </si>
  <si>
    <t>out</t>
  </si>
  <si>
    <t>box to tsp</t>
  </si>
  <si>
    <t>bags to oz</t>
  </si>
  <si>
    <t>Bags to oz</t>
  </si>
  <si>
    <t>bottle to tsp</t>
  </si>
  <si>
    <t>box to cups</t>
  </si>
  <si>
    <t>jugs to cups</t>
  </si>
  <si>
    <t>After you bake</t>
  </si>
  <si>
    <t>AutoFill</t>
  </si>
  <si>
    <t>Reserved</t>
  </si>
  <si>
    <t>Frozen/Baked</t>
  </si>
  <si>
    <t>Cookie Type</t>
  </si>
  <si>
    <t>SS Threshold</t>
  </si>
  <si>
    <t>Current SS</t>
  </si>
  <si>
    <t>SS needed</t>
  </si>
  <si>
    <t>Total batches</t>
  </si>
  <si>
    <t>Bake Date</t>
  </si>
  <si>
    <t>oz / batch</t>
  </si>
  <si>
    <t>Phone</t>
  </si>
  <si>
    <t>Email</t>
  </si>
  <si>
    <t>To Name</t>
  </si>
  <si>
    <t>Address</t>
  </si>
  <si>
    <t>Method</t>
  </si>
  <si>
    <t>Gift card Message</t>
  </si>
  <si>
    <t>Special package instructions</t>
  </si>
  <si>
    <t>*required</t>
  </si>
  <si>
    <t>Name*</t>
  </si>
  <si>
    <t>Due Date*</t>
  </si>
  <si>
    <t>Order Type*</t>
  </si>
  <si>
    <t>Size (oz)*</t>
  </si>
  <si>
    <t>Date Ordered</t>
  </si>
  <si>
    <t>Bulk Each</t>
  </si>
  <si>
    <t>10 lb Puck</t>
  </si>
  <si>
    <t>20 lb Puck</t>
  </si>
  <si>
    <t>Today's Date:</t>
  </si>
  <si>
    <t>Monster</t>
  </si>
  <si>
    <t>M&amp;M</t>
  </si>
  <si>
    <t>Double Chocolate Mint</t>
  </si>
  <si>
    <t>Coffee Grounds</t>
  </si>
  <si>
    <t>Lemon Juice</t>
  </si>
  <si>
    <t>Huckberry Chocolate</t>
  </si>
  <si>
    <t>cups?</t>
  </si>
  <si>
    <t>oz?</t>
  </si>
  <si>
    <t>Shortbread Cookie</t>
  </si>
  <si>
    <t>Double Chocolate Espresso</t>
  </si>
  <si>
    <t>Lemon Frosted Sugar Cookies</t>
  </si>
  <si>
    <t>Choc Huckleberry Chunk</t>
  </si>
  <si>
    <t>Cookie Of The Month</t>
  </si>
  <si>
    <t>Status</t>
  </si>
  <si>
    <t>Baking</t>
  </si>
  <si>
    <t>Sum</t>
  </si>
  <si>
    <t>Frozen Pucks</t>
  </si>
  <si>
    <t>3 oz Cookie</t>
  </si>
  <si>
    <t>Type:</t>
  </si>
  <si>
    <t>Total</t>
  </si>
  <si>
    <t>Batches</t>
  </si>
  <si>
    <t>Huckleberry Syrup</t>
  </si>
  <si>
    <t>bottle to cups</t>
  </si>
  <si>
    <t>Cookie Inventory Update</t>
  </si>
  <si>
    <t>Ingredient Inventory Update</t>
  </si>
  <si>
    <t>Cookie Inventory Sheet</t>
  </si>
  <si>
    <t>SHOPPING LIST</t>
  </si>
  <si>
    <t>Sum of orders</t>
  </si>
  <si>
    <t>Quantity</t>
  </si>
  <si>
    <t>Ingredients</t>
  </si>
  <si>
    <t>Measuring Units</t>
  </si>
  <si>
    <t>Unit</t>
  </si>
  <si>
    <t>Conversion</t>
  </si>
  <si>
    <t>Inventory</t>
  </si>
  <si>
    <t>Quantity needed for this week's demands</t>
  </si>
  <si>
    <t>Conversion to Purchasing Units</t>
  </si>
  <si>
    <t>this actually gets baking schedule from master schedule matrix</t>
  </si>
  <si>
    <t>as long as the baking schedule only contains orders from today through end of week</t>
  </si>
  <si>
    <t>not a bad assumption?</t>
  </si>
  <si>
    <t>To calculate this list, go to baking schedule and click refresh baking schedule. Make sure orders before todays date are all removed, or you will buy too much stuff.</t>
  </si>
  <si>
    <t>note! Important to keep this schedule up-to-date, because purchasing schedule is based on this!</t>
  </si>
  <si>
    <t>have the unusually large order predicter here…? Makes more sense</t>
  </si>
  <si>
    <t>Delivery</t>
  </si>
  <si>
    <t>Ship</t>
  </si>
  <si>
    <t>Pick Up</t>
  </si>
  <si>
    <t>Method: (Source for Method Input cell)</t>
  </si>
  <si>
    <t>Order Types: (source for Order Type* input cell)</t>
  </si>
  <si>
    <t>4-Pack</t>
  </si>
  <si>
    <t>Flavor</t>
  </si>
  <si>
    <t>test5</t>
  </si>
  <si>
    <t>test3</t>
  </si>
  <si>
    <t>test4</t>
  </si>
  <si>
    <t>Frozen</t>
  </si>
  <si>
    <t>Thursday</t>
  </si>
  <si>
    <t>Tuesday</t>
  </si>
  <si>
    <t>Friday</t>
  </si>
  <si>
    <t>Wednesday</t>
  </si>
  <si>
    <t>Saturday</t>
  </si>
  <si>
    <t>Sunday</t>
  </si>
  <si>
    <t>Monday</t>
  </si>
  <si>
    <t>this stores a matrix of packaging supplies</t>
  </si>
  <si>
    <t>15x10x4 (boxes)</t>
  </si>
  <si>
    <t>14x14x16</t>
  </si>
  <si>
    <t>14x10x8</t>
  </si>
  <si>
    <t>15x10x8</t>
  </si>
  <si>
    <t>14x10x5</t>
  </si>
  <si>
    <t>"Small"</t>
  </si>
  <si>
    <t>"Med"</t>
  </si>
  <si>
    <t>"LFRB"</t>
  </si>
  <si>
    <t>Qt Ziploc</t>
  </si>
  <si>
    <t>5x7 Poly</t>
  </si>
  <si>
    <t>9x9x5 Poly</t>
  </si>
  <si>
    <t>Red Twistie</t>
  </si>
  <si>
    <t>Clear 8" Twistie</t>
  </si>
  <si>
    <t>5x5x5 Poly</t>
  </si>
  <si>
    <t>Lg Red "S's Comp"</t>
  </si>
  <si>
    <t>Sm Red "S's Comp"</t>
  </si>
  <si>
    <t>Black "S's Comp"</t>
  </si>
  <si>
    <t>Lg Poly</t>
  </si>
  <si>
    <t>Sm Poly</t>
  </si>
  <si>
    <t>22x25x8 Bag</t>
  </si>
  <si>
    <t>12x15 Bag</t>
  </si>
  <si>
    <t>Sm Bag</t>
  </si>
  <si>
    <t>Brown Paper Sheet</t>
  </si>
  <si>
    <t>Red Tissue Paper</t>
  </si>
  <si>
    <t>White Tissue Paper</t>
  </si>
  <si>
    <t>15x24 Clear Poly Sheet</t>
  </si>
  <si>
    <t>Red Ribbon</t>
  </si>
  <si>
    <t>Sm Plastic Bag w/ Handles</t>
  </si>
  <si>
    <t>Lg Plastic Bag w/ Handles</t>
  </si>
  <si>
    <t>Half-Pan Parchement</t>
  </si>
  <si>
    <t>4x10x2 Poly Bag</t>
  </si>
  <si>
    <t>5x3x12 Poly Bag</t>
  </si>
  <si>
    <t>"Lip &amp; Tape" Bag (4.5x4.5)</t>
  </si>
  <si>
    <t>5x3x9.5 Red Polka Bag</t>
  </si>
  <si>
    <t>5 1/8x 6 3/8 Red Diagonal Stripe Bag</t>
  </si>
  <si>
    <t>"Cookie" Bags</t>
  </si>
  <si>
    <t>14x18 Poly Bags</t>
  </si>
  <si>
    <t>Materials</t>
  </si>
  <si>
    <t>1 Pkg</t>
  </si>
  <si>
    <t>1 Case</t>
  </si>
  <si>
    <t>1 Unit</t>
  </si>
  <si>
    <t>1 Box</t>
  </si>
  <si>
    <t>1 Roll</t>
  </si>
  <si>
    <t>7" Strip</t>
  </si>
  <si>
    <t>1 Bag</t>
  </si>
  <si>
    <t>pulls from master</t>
  </si>
  <si>
    <t>Shipping Schedule</t>
  </si>
  <si>
    <t>Packaging</t>
  </si>
  <si>
    <t>Shipping</t>
  </si>
  <si>
    <t>Due Date</t>
  </si>
  <si>
    <t>Weekday</t>
  </si>
  <si>
    <t>5x5x5 Box</t>
  </si>
  <si>
    <t>9x5x5 Box</t>
  </si>
  <si>
    <t>Ingredient Type Label</t>
  </si>
  <si>
    <t>250/page</t>
  </si>
  <si>
    <t>100/page</t>
  </si>
  <si>
    <t>Gallon Ziploc</t>
  </si>
  <si>
    <t>4.5x3.25x13 Poly Bag</t>
  </si>
  <si>
    <t>Grocer Delivery Extra</t>
  </si>
  <si>
    <t>Gift Packaging Extra</t>
  </si>
  <si>
    <t>Puck Packaging Extra</t>
  </si>
  <si>
    <t>Packaging Standard Options</t>
  </si>
  <si>
    <t>Cookie Type label</t>
  </si>
  <si>
    <t>Inventory Units</t>
  </si>
  <si>
    <t>Inventory Change</t>
  </si>
  <si>
    <t>This imports week by week info from master schedule. It automatically takes out cookies or pucks from inventory. You need to change material inventory on Materials_Inventory page</t>
  </si>
  <si>
    <t>Invoicing</t>
  </si>
  <si>
    <t>Archive</t>
  </si>
  <si>
    <t>Invoice Schedule</t>
  </si>
  <si>
    <t>Package Schedule</t>
  </si>
  <si>
    <t>Mint choc chips</t>
  </si>
  <si>
    <t>Oz per batch:</t>
  </si>
  <si>
    <t>Cookie of the Month is:</t>
  </si>
  <si>
    <t xml:space="preserve"> by package, not number of cookies</t>
  </si>
  <si>
    <t xml:space="preserve">Note: frozen pucks and 4-packs listed </t>
  </si>
  <si>
    <t>10 lb</t>
  </si>
  <si>
    <t>2 c</t>
  </si>
  <si>
    <t>8 oz</t>
  </si>
  <si>
    <t>10 lbs</t>
  </si>
  <si>
    <t>bottle to oz</t>
  </si>
  <si>
    <t>Total ordered ounces</t>
  </si>
  <si>
    <t>ounces</t>
  </si>
  <si>
    <t>Pending</t>
  </si>
  <si>
    <t>1-Pack</t>
  </si>
  <si>
    <t>test1</t>
  </si>
  <si>
    <t>2 oz Cookie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</si>
</sst>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.8"/>
      <color theme="1"/>
      <name val="Arial"/>
    </font>
    <font>
      <sz val="13"/>
      <color theme="1"/>
      <name val="Arial"/>
    </font>
    <font>
      <sz val="10.8"/>
      <color rgb="FFFFFFFF"/>
      <name val="Arial"/>
    </font>
    <font>
      <b/>
      <sz val="13"/>
      <color theme="1"/>
      <name val="Arial"/>
    </font>
    <font>
      <b/>
      <i/>
      <sz val="12"/>
      <color theme="1"/>
      <name val="Arial"/>
    </font>
    <font>
      <b/>
      <i/>
      <sz val="13"/>
      <color theme="1"/>
      <name val="Arial"/>
    </font>
    <font>
      <i/>
      <sz val="12"/>
      <color theme="1"/>
      <name val="Arial"/>
    </font>
    <font>
      <sz val="12"/>
      <color theme="1"/>
      <name val="Arial"/>
    </font>
    <font>
      <i/>
      <sz val="13"/>
      <color theme="1"/>
      <name val="Arial"/>
    </font>
    <font>
      <sz val="13"/>
      <name val="Arial"/>
    </font>
    <font>
      <sz val="12"/>
      <color rgb="FFFF0000"/>
      <name val="Calibri"/>
      <family val="2"/>
      <scheme val="minor"/>
    </font>
    <font>
      <b/>
      <sz val="12"/>
      <color rgb="FFFF0000"/>
      <name val="Calibri"/>
      <scheme val="minor"/>
    </font>
    <font>
      <i/>
      <sz val="12"/>
      <color theme="1"/>
      <name val="Calibri"/>
      <family val="2"/>
      <scheme val="minor"/>
    </font>
    <font>
      <sz val="13"/>
      <color rgb="FFFF0000"/>
      <name val="Arial"/>
    </font>
    <font>
      <b/>
      <sz val="13"/>
      <color rgb="FFFF0000"/>
      <name val="Arial"/>
    </font>
    <font>
      <i/>
      <sz val="12"/>
      <color rgb="FFFF0000"/>
      <name val="Arial"/>
    </font>
    <font>
      <sz val="13"/>
      <color theme="1"/>
      <name val="Calibri"/>
      <scheme val="minor"/>
    </font>
    <font>
      <sz val="8"/>
      <name val="Calibri"/>
      <family val="2"/>
      <scheme val="minor"/>
    </font>
    <font>
      <b/>
      <sz val="13"/>
      <name val="Arial"/>
    </font>
    <font>
      <sz val="12"/>
      <name val="Arial"/>
    </font>
    <font>
      <i/>
      <sz val="12"/>
      <name val="Arial"/>
    </font>
    <font>
      <i/>
      <sz val="13"/>
      <name val="Arial"/>
    </font>
    <font>
      <sz val="12"/>
      <name val="Calibri"/>
      <family val="2"/>
      <scheme val="minor"/>
    </font>
    <font>
      <b/>
      <sz val="15.6"/>
      <color rgb="FF000000"/>
      <name val="Arial"/>
    </font>
    <font>
      <sz val="15.6"/>
      <color rgb="FF000000"/>
      <name val="Arial"/>
    </font>
    <font>
      <sz val="14.4"/>
      <color rgb="FF000000"/>
      <name val="Arial"/>
    </font>
    <font>
      <sz val="14.4"/>
      <color rgb="FF000000"/>
      <name val="Calibri"/>
      <scheme val="minor"/>
    </font>
    <font>
      <b/>
      <sz val="13"/>
      <color theme="1"/>
      <name val="Calibri"/>
      <scheme val="minor"/>
    </font>
    <font>
      <b/>
      <sz val="12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3F3F3"/>
        <bgColor indexed="64"/>
      </patternFill>
    </fill>
    <fill>
      <patternFill patternType="solid">
        <fgColor rgb="FFA64D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CD39D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59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1" xfId="0" applyBorder="1"/>
    <xf numFmtId="0" fontId="13" fillId="0" borderId="2" xfId="0" applyFont="1" applyBorder="1" applyAlignment="1">
      <alignment horizontal="right" wrapText="1"/>
    </xf>
    <xf numFmtId="0" fontId="15" fillId="0" borderId="2" xfId="0" applyFont="1" applyBorder="1" applyAlignment="1">
      <alignment horizontal="right" wrapText="1"/>
    </xf>
    <xf numFmtId="0" fontId="15" fillId="0" borderId="0" xfId="0" applyFont="1" applyBorder="1" applyAlignment="1">
      <alignment horizontal="right" wrapText="1"/>
    </xf>
    <xf numFmtId="0" fontId="13" fillId="0" borderId="0" xfId="0" applyFont="1" applyFill="1" applyBorder="1" applyAlignment="1">
      <alignment horizontal="right" wrapText="1"/>
    </xf>
    <xf numFmtId="0" fontId="15" fillId="0" borderId="6" xfId="0" applyFont="1" applyFill="1" applyBorder="1" applyAlignment="1">
      <alignment horizontal="right" wrapText="1"/>
    </xf>
    <xf numFmtId="0" fontId="13" fillId="0" borderId="5" xfId="0" applyFont="1" applyFill="1" applyBorder="1" applyAlignment="1">
      <alignment horizontal="right" wrapText="1"/>
    </xf>
    <xf numFmtId="0" fontId="0" fillId="0" borderId="0" xfId="0" applyAlignment="1">
      <alignment horizontal="right"/>
    </xf>
    <xf numFmtId="0" fontId="15" fillId="0" borderId="1" xfId="0" applyFont="1" applyBorder="1" applyAlignment="1">
      <alignment horizontal="right" wrapText="1"/>
    </xf>
    <xf numFmtId="0" fontId="13" fillId="0" borderId="1" xfId="0" applyFont="1" applyBorder="1" applyAlignment="1">
      <alignment horizontal="right" wrapText="1"/>
    </xf>
    <xf numFmtId="0" fontId="13" fillId="0" borderId="1" xfId="0" applyFont="1" applyFill="1" applyBorder="1" applyAlignment="1">
      <alignment horizontal="right" wrapText="1"/>
    </xf>
    <xf numFmtId="0" fontId="15" fillId="0" borderId="1" xfId="0" applyFont="1" applyFill="1" applyBorder="1" applyAlignment="1">
      <alignment horizontal="right" wrapText="1"/>
    </xf>
    <xf numFmtId="0" fontId="10" fillId="0" borderId="4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1" fillId="0" borderId="4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4" fillId="2" borderId="1" xfId="0" applyFont="1" applyFill="1" applyBorder="1" applyAlignment="1">
      <alignment horizontal="right" wrapText="1"/>
    </xf>
    <xf numFmtId="0" fontId="8" fillId="0" borderId="1" xfId="0" applyFont="1" applyBorder="1" applyAlignment="1">
      <alignment horizontal="right" wrapText="1"/>
    </xf>
    <xf numFmtId="0" fontId="8" fillId="2" borderId="1" xfId="0" applyFont="1" applyFill="1" applyBorder="1" applyAlignment="1">
      <alignment horizontal="right" wrapText="1"/>
    </xf>
    <xf numFmtId="0" fontId="8" fillId="5" borderId="1" xfId="0" applyFont="1" applyFill="1" applyBorder="1" applyAlignment="1">
      <alignment horizontal="right" wrapText="1"/>
    </xf>
    <xf numFmtId="0" fontId="14" fillId="2" borderId="1" xfId="0" applyFont="1" applyFill="1" applyBorder="1" applyAlignment="1">
      <alignment horizontal="right" vertical="center" wrapText="1"/>
    </xf>
    <xf numFmtId="0" fontId="8" fillId="4" borderId="1" xfId="0" applyFont="1" applyFill="1" applyBorder="1" applyAlignment="1">
      <alignment horizontal="right" wrapText="1"/>
    </xf>
    <xf numFmtId="0" fontId="0" fillId="0" borderId="0" xfId="0" quotePrefix="1"/>
    <xf numFmtId="0" fontId="20" fillId="0" borderId="3" xfId="0" applyFont="1" applyBorder="1" applyAlignment="1">
      <alignment wrapText="1"/>
    </xf>
    <xf numFmtId="0" fontId="20" fillId="0" borderId="3" xfId="0" applyFont="1" applyBorder="1" applyAlignment="1">
      <alignment horizontal="right" wrapText="1"/>
    </xf>
    <xf numFmtId="0" fontId="17" fillId="0" borderId="0" xfId="0" applyFont="1"/>
    <xf numFmtId="0" fontId="14" fillId="0" borderId="0" xfId="0" applyFont="1" applyFill="1" applyBorder="1" applyAlignment="1">
      <alignment horizontal="right" wrapText="1"/>
    </xf>
    <xf numFmtId="0" fontId="17" fillId="0" borderId="0" xfId="0" quotePrefix="1" applyFont="1"/>
    <xf numFmtId="0" fontId="18" fillId="0" borderId="0" xfId="0" quotePrefix="1" applyFont="1"/>
    <xf numFmtId="0" fontId="21" fillId="0" borderId="0" xfId="0" quotePrefix="1" applyFont="1" applyFill="1" applyBorder="1" applyAlignment="1">
      <alignment horizontal="center" wrapText="1"/>
    </xf>
    <xf numFmtId="0" fontId="10" fillId="0" borderId="0" xfId="0" applyFont="1" applyBorder="1" applyAlignment="1">
      <alignment horizontal="right" wrapText="1"/>
    </xf>
    <xf numFmtId="0" fontId="0" fillId="7" borderId="1" xfId="0" applyFont="1" applyFill="1" applyBorder="1"/>
    <xf numFmtId="0" fontId="1" fillId="7" borderId="1" xfId="0" applyFont="1" applyFill="1" applyBorder="1"/>
    <xf numFmtId="0" fontId="1" fillId="9" borderId="1" xfId="0" applyFont="1" applyFill="1" applyBorder="1"/>
    <xf numFmtId="0" fontId="0" fillId="7" borderId="17" xfId="0" applyFill="1" applyBorder="1"/>
    <xf numFmtId="0" fontId="0" fillId="7" borderId="15" xfId="0" applyFill="1" applyBorder="1"/>
    <xf numFmtId="0" fontId="14" fillId="9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right"/>
    </xf>
    <xf numFmtId="0" fontId="0" fillId="9" borderId="14" xfId="0" applyFill="1" applyBorder="1"/>
    <xf numFmtId="0" fontId="0" fillId="9" borderId="15" xfId="0" applyFill="1" applyBorder="1"/>
    <xf numFmtId="0" fontId="1" fillId="9" borderId="1" xfId="0" applyFont="1" applyFill="1" applyBorder="1" applyAlignment="1">
      <alignment horizontal="center" wrapText="1"/>
    </xf>
    <xf numFmtId="0" fontId="1" fillId="9" borderId="21" xfId="0" applyFont="1" applyFill="1" applyBorder="1" applyAlignment="1">
      <alignment horizontal="center" wrapText="1"/>
    </xf>
    <xf numFmtId="0" fontId="0" fillId="0" borderId="0" xfId="0" applyFont="1"/>
    <xf numFmtId="0" fontId="17" fillId="9" borderId="1" xfId="0" applyFont="1" applyFill="1" applyBorder="1"/>
    <xf numFmtId="0" fontId="23" fillId="9" borderId="1" xfId="0" applyFont="1" applyFill="1" applyBorder="1" applyAlignment="1">
      <alignment horizontal="right" wrapText="1"/>
    </xf>
    <xf numFmtId="14" fontId="0" fillId="0" borderId="1" xfId="0" applyNumberFormat="1" applyBorder="1"/>
    <xf numFmtId="0" fontId="10" fillId="9" borderId="1" xfId="0" applyFont="1" applyFill="1" applyBorder="1" applyAlignment="1">
      <alignment horizontal="center" wrapText="1"/>
    </xf>
    <xf numFmtId="0" fontId="19" fillId="0" borderId="0" xfId="0" applyFont="1" applyBorder="1" applyAlignment="1">
      <alignment horizontal="right"/>
    </xf>
    <xf numFmtId="0" fontId="0" fillId="9" borderId="16" xfId="0" applyFill="1" applyBorder="1"/>
    <xf numFmtId="0" fontId="1" fillId="9" borderId="16" xfId="0" applyFont="1" applyFill="1" applyBorder="1"/>
    <xf numFmtId="0" fontId="1" fillId="9" borderId="16" xfId="0" applyFont="1" applyFill="1" applyBorder="1" applyAlignment="1">
      <alignment horizontal="right"/>
    </xf>
    <xf numFmtId="0" fontId="1" fillId="9" borderId="14" xfId="0" applyFont="1" applyFill="1" applyBorder="1" applyAlignment="1">
      <alignment horizontal="left"/>
    </xf>
    <xf numFmtId="0" fontId="1" fillId="9" borderId="14" xfId="0" applyFont="1" applyFill="1" applyBorder="1"/>
    <xf numFmtId="0" fontId="1" fillId="9" borderId="9" xfId="0" applyFont="1" applyFill="1" applyBorder="1" applyAlignment="1">
      <alignment horizontal="right" wrapText="1"/>
    </xf>
    <xf numFmtId="0" fontId="0" fillId="9" borderId="12" xfId="0" applyFill="1" applyBorder="1"/>
    <xf numFmtId="0" fontId="1" fillId="9" borderId="15" xfId="0" applyFont="1" applyFill="1" applyBorder="1" applyAlignment="1">
      <alignment horizontal="center" wrapText="1"/>
    </xf>
    <xf numFmtId="14" fontId="0" fillId="0" borderId="0" xfId="0" applyNumberFormat="1"/>
    <xf numFmtId="0" fontId="0" fillId="6" borderId="1" xfId="0" applyFill="1" applyBorder="1"/>
    <xf numFmtId="0" fontId="0" fillId="10" borderId="1" xfId="0" applyFill="1" applyBorder="1"/>
    <xf numFmtId="14" fontId="0" fillId="9" borderId="1" xfId="0" applyNumberFormat="1" applyFill="1" applyBorder="1"/>
    <xf numFmtId="0" fontId="6" fillId="9" borderId="1" xfId="0" applyFont="1" applyFill="1" applyBorder="1"/>
    <xf numFmtId="0" fontId="17" fillId="8" borderId="0" xfId="0" applyFont="1" applyFill="1" applyBorder="1"/>
    <xf numFmtId="0" fontId="5" fillId="9" borderId="1" xfId="0" applyFont="1" applyFill="1" applyBorder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/>
    <xf numFmtId="14" fontId="0" fillId="9" borderId="14" xfId="0" applyNumberFormat="1" applyFill="1" applyBorder="1"/>
    <xf numFmtId="0" fontId="8" fillId="9" borderId="1" xfId="0" applyFont="1" applyFill="1" applyBorder="1" applyAlignment="1">
      <alignment horizontal="right" wrapText="1"/>
    </xf>
    <xf numFmtId="0" fontId="8" fillId="9" borderId="20" xfId="0" applyFont="1" applyFill="1" applyBorder="1" applyAlignment="1">
      <alignment wrapText="1"/>
    </xf>
    <xf numFmtId="0" fontId="8" fillId="9" borderId="14" xfId="0" applyFont="1" applyFill="1" applyBorder="1" applyAlignment="1">
      <alignment horizontal="right" wrapText="1"/>
    </xf>
    <xf numFmtId="0" fontId="7" fillId="9" borderId="16" xfId="0" applyFont="1" applyFill="1" applyBorder="1" applyAlignment="1">
      <alignment horizontal="right" wrapText="1"/>
    </xf>
    <xf numFmtId="0" fontId="7" fillId="9" borderId="14" xfId="0" applyFont="1" applyFill="1" applyBorder="1" applyAlignment="1">
      <alignment horizontal="right" wrapText="1"/>
    </xf>
    <xf numFmtId="0" fontId="0" fillId="9" borderId="1" xfId="0" applyFont="1" applyFill="1" applyBorder="1" applyAlignment="1">
      <alignment horizontal="right" wrapText="1"/>
    </xf>
    <xf numFmtId="0" fontId="30" fillId="9" borderId="9" xfId="0" applyFont="1" applyFill="1" applyBorder="1"/>
    <xf numFmtId="0" fontId="1" fillId="12" borderId="1" xfId="0" applyFont="1" applyFill="1" applyBorder="1" applyAlignment="1">
      <alignment horizontal="right"/>
    </xf>
    <xf numFmtId="14" fontId="0" fillId="12" borderId="1" xfId="0" applyNumberFormat="1" applyFill="1" applyBorder="1"/>
    <xf numFmtId="0" fontId="0" fillId="9" borderId="18" xfId="0" applyFont="1" applyFill="1" applyBorder="1" applyAlignment="1">
      <alignment horizontal="right" wrapText="1"/>
    </xf>
    <xf numFmtId="0" fontId="13" fillId="9" borderId="1" xfId="0" applyFont="1" applyFill="1" applyBorder="1" applyAlignment="1">
      <alignment horizontal="right" wrapText="1"/>
    </xf>
    <xf numFmtId="0" fontId="19" fillId="9" borderId="1" xfId="0" applyFont="1" applyFill="1" applyBorder="1" applyAlignment="1">
      <alignment horizontal="right"/>
    </xf>
    <xf numFmtId="0" fontId="15" fillId="9" borderId="1" xfId="0" applyFont="1" applyFill="1" applyBorder="1" applyAlignment="1">
      <alignment horizontal="right" wrapText="1"/>
    </xf>
    <xf numFmtId="0" fontId="22" fillId="9" borderId="1" xfId="0" applyFont="1" applyFill="1" applyBorder="1" applyAlignment="1">
      <alignment horizontal="right"/>
    </xf>
    <xf numFmtId="0" fontId="7" fillId="9" borderId="22" xfId="0" applyFont="1" applyFill="1" applyBorder="1" applyAlignment="1">
      <alignment horizontal="right" wrapText="1"/>
    </xf>
    <xf numFmtId="0" fontId="7" fillId="9" borderId="12" xfId="0" applyFont="1" applyFill="1" applyBorder="1" applyAlignment="1">
      <alignment horizontal="right" wrapText="1"/>
    </xf>
    <xf numFmtId="0" fontId="8" fillId="9" borderId="12" xfId="0" applyFont="1" applyFill="1" applyBorder="1" applyAlignment="1">
      <alignment horizontal="right" wrapText="1"/>
    </xf>
    <xf numFmtId="0" fontId="8" fillId="9" borderId="18" xfId="0" applyFont="1" applyFill="1" applyBorder="1" applyAlignment="1">
      <alignment horizontal="right" wrapText="1"/>
    </xf>
    <xf numFmtId="0" fontId="10" fillId="9" borderId="1" xfId="0" applyFont="1" applyFill="1" applyBorder="1" applyAlignment="1">
      <alignment horizontal="right" wrapText="1"/>
    </xf>
    <xf numFmtId="0" fontId="7" fillId="9" borderId="1" xfId="0" applyFont="1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0" fontId="12" fillId="9" borderId="20" xfId="0" applyFont="1" applyFill="1" applyBorder="1" applyAlignment="1">
      <alignment horizontal="center" wrapText="1"/>
    </xf>
    <xf numFmtId="0" fontId="13" fillId="9" borderId="1" xfId="0" applyFont="1" applyFill="1" applyBorder="1" applyAlignment="1">
      <alignment horizontal="right"/>
    </xf>
    <xf numFmtId="0" fontId="16" fillId="9" borderId="1" xfId="0" applyFont="1" applyFill="1" applyBorder="1" applyAlignment="1">
      <alignment horizontal="right" wrapText="1"/>
    </xf>
    <xf numFmtId="0" fontId="8" fillId="9" borderId="15" xfId="0" applyFont="1" applyFill="1" applyBorder="1" applyAlignment="1">
      <alignment horizontal="right" wrapText="1"/>
    </xf>
    <xf numFmtId="0" fontId="1" fillId="9" borderId="22" xfId="0" applyFont="1" applyFill="1" applyBorder="1"/>
    <xf numFmtId="14" fontId="0" fillId="11" borderId="1" xfId="0" applyNumberFormat="1" applyFon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0" fillId="11" borderId="1" xfId="0" applyFont="1" applyFill="1" applyBorder="1" applyAlignment="1" applyProtection="1">
      <alignment horizontal="right"/>
      <protection locked="0"/>
    </xf>
    <xf numFmtId="0" fontId="0" fillId="11" borderId="1" xfId="0" applyNumberFormat="1" applyFont="1" applyFill="1" applyBorder="1" applyAlignment="1" applyProtection="1">
      <alignment horizontal="right"/>
      <protection locked="0"/>
    </xf>
    <xf numFmtId="0" fontId="14" fillId="8" borderId="1" xfId="0" applyFont="1" applyFill="1" applyBorder="1" applyAlignment="1" applyProtection="1">
      <alignment horizontal="right" wrapText="1"/>
      <protection locked="0"/>
    </xf>
    <xf numFmtId="0" fontId="0" fillId="8" borderId="1" xfId="0" applyFill="1" applyBorder="1" applyProtection="1">
      <protection locked="0"/>
    </xf>
    <xf numFmtId="0" fontId="8" fillId="8" borderId="1" xfId="0" applyFont="1" applyFill="1" applyBorder="1" applyAlignment="1" applyProtection="1">
      <alignment horizontal="right" wrapText="1"/>
      <protection locked="0"/>
    </xf>
    <xf numFmtId="0" fontId="14" fillId="8" borderId="1" xfId="0" applyFont="1" applyFill="1" applyBorder="1" applyAlignment="1" applyProtection="1">
      <alignment horizontal="right" vertical="center" wrapText="1"/>
      <protection locked="0"/>
    </xf>
    <xf numFmtId="0" fontId="0" fillId="9" borderId="1" xfId="0" applyFont="1" applyFill="1" applyBorder="1"/>
    <xf numFmtId="0" fontId="0" fillId="9" borderId="18" xfId="0" applyFont="1" applyFill="1" applyBorder="1"/>
    <xf numFmtId="0" fontId="29" fillId="8" borderId="1" xfId="0" applyFont="1" applyFill="1" applyBorder="1" applyProtection="1">
      <protection locked="0"/>
    </xf>
    <xf numFmtId="0" fontId="17" fillId="8" borderId="1" xfId="0" applyFont="1" applyFill="1" applyBorder="1" applyProtection="1">
      <protection locked="0"/>
    </xf>
    <xf numFmtId="0" fontId="0" fillId="11" borderId="1" xfId="0" applyFill="1" applyBorder="1" applyProtection="1">
      <protection locked="0"/>
    </xf>
    <xf numFmtId="0" fontId="27" fillId="9" borderId="1" xfId="0" applyFont="1" applyFill="1" applyBorder="1" applyAlignment="1">
      <alignment horizontal="right"/>
    </xf>
    <xf numFmtId="0" fontId="8" fillId="9" borderId="1" xfId="0" applyFont="1" applyFill="1" applyBorder="1" applyAlignment="1">
      <alignment wrapText="1"/>
    </xf>
    <xf numFmtId="0" fontId="20" fillId="9" borderId="20" xfId="0" applyFont="1" applyFill="1" applyBorder="1" applyAlignment="1">
      <alignment wrapText="1"/>
    </xf>
    <xf numFmtId="0" fontId="25" fillId="9" borderId="7" xfId="0" applyFont="1" applyFill="1" applyBorder="1" applyAlignment="1">
      <alignment horizontal="right" wrapText="1"/>
    </xf>
    <xf numFmtId="0" fontId="25" fillId="9" borderId="9" xfId="0" applyFont="1" applyFill="1" applyBorder="1" applyAlignment="1">
      <alignment horizontal="right" wrapText="1"/>
    </xf>
    <xf numFmtId="0" fontId="26" fillId="9" borderId="10" xfId="0" applyFont="1" applyFill="1" applyBorder="1" applyAlignment="1">
      <alignment horizontal="right" wrapText="1"/>
    </xf>
    <xf numFmtId="0" fontId="26" fillId="9" borderId="1" xfId="0" applyFont="1" applyFill="1" applyBorder="1" applyAlignment="1">
      <alignment horizontal="right" wrapText="1"/>
    </xf>
    <xf numFmtId="0" fontId="27" fillId="9" borderId="1" xfId="0" applyFont="1" applyFill="1" applyBorder="1" applyAlignment="1">
      <alignment horizontal="right" wrapText="1"/>
    </xf>
    <xf numFmtId="0" fontId="28" fillId="9" borderId="1" xfId="0" applyFont="1" applyFill="1" applyBorder="1" applyAlignment="1">
      <alignment horizontal="right" wrapText="1"/>
    </xf>
    <xf numFmtId="0" fontId="16" fillId="9" borderId="18" xfId="0" applyFont="1" applyFill="1" applyBorder="1" applyAlignment="1">
      <alignment horizontal="right" wrapText="1"/>
    </xf>
    <xf numFmtId="0" fontId="28" fillId="9" borderId="18" xfId="0" applyFont="1" applyFill="1" applyBorder="1" applyAlignment="1">
      <alignment horizontal="right" wrapText="1"/>
    </xf>
    <xf numFmtId="0" fontId="8" fillId="11" borderId="1" xfId="0" applyFont="1" applyFill="1" applyBorder="1" applyAlignment="1" applyProtection="1">
      <alignment wrapText="1"/>
      <protection locked="0"/>
    </xf>
    <xf numFmtId="0" fontId="14" fillId="9" borderId="1" xfId="0" applyFont="1" applyFill="1" applyBorder="1" applyAlignment="1">
      <alignment horizontal="right" wrapText="1"/>
    </xf>
    <xf numFmtId="0" fontId="8" fillId="9" borderId="11" xfId="0" applyFont="1" applyFill="1" applyBorder="1" applyAlignment="1">
      <alignment horizontal="right" wrapText="1"/>
    </xf>
    <xf numFmtId="0" fontId="8" fillId="8" borderId="14" xfId="0" applyFont="1" applyFill="1" applyBorder="1" applyAlignment="1" applyProtection="1">
      <alignment horizontal="right" wrapText="1"/>
      <protection locked="0"/>
    </xf>
    <xf numFmtId="0" fontId="16" fillId="8" borderId="1" xfId="0" applyFont="1" applyFill="1" applyBorder="1" applyAlignment="1" applyProtection="1">
      <alignment horizontal="right" wrapText="1"/>
      <protection locked="0"/>
    </xf>
    <xf numFmtId="0" fontId="0" fillId="8" borderId="1" xfId="0" applyFont="1" applyFill="1" applyBorder="1" applyAlignment="1" applyProtection="1">
      <alignment horizontal="right" wrapText="1"/>
      <protection locked="0"/>
    </xf>
    <xf numFmtId="0" fontId="6" fillId="8" borderId="13" xfId="0" applyFont="1" applyFill="1" applyBorder="1" applyAlignment="1" applyProtection="1">
      <alignment horizontal="right" wrapText="1"/>
      <protection locked="0"/>
    </xf>
    <xf numFmtId="0" fontId="29" fillId="9" borderId="1" xfId="0" applyFont="1" applyFill="1" applyBorder="1"/>
    <xf numFmtId="0" fontId="29" fillId="11" borderId="1" xfId="0" applyFont="1" applyFill="1" applyBorder="1" applyProtection="1">
      <protection locked="0"/>
    </xf>
    <xf numFmtId="0" fontId="1" fillId="12" borderId="1" xfId="0" applyFont="1" applyFill="1" applyBorder="1"/>
    <xf numFmtId="0" fontId="35" fillId="12" borderId="1" xfId="0" applyFont="1" applyFill="1" applyBorder="1"/>
    <xf numFmtId="0" fontId="31" fillId="9" borderId="1" xfId="0" applyFont="1" applyFill="1" applyBorder="1"/>
    <xf numFmtId="0" fontId="23" fillId="9" borderId="1" xfId="0" applyFont="1" applyFill="1" applyBorder="1"/>
    <xf numFmtId="0" fontId="32" fillId="9" borderId="1" xfId="0" applyFont="1" applyFill="1" applyBorder="1"/>
    <xf numFmtId="0" fontId="33" fillId="9" borderId="1" xfId="0" applyFont="1" applyFill="1" applyBorder="1"/>
    <xf numFmtId="0" fontId="32" fillId="11" borderId="1" xfId="0" applyFont="1" applyFill="1" applyBorder="1" applyProtection="1">
      <protection locked="0"/>
    </xf>
    <xf numFmtId="0" fontId="33" fillId="11" borderId="1" xfId="0" applyFont="1" applyFill="1" applyBorder="1" applyProtection="1">
      <protection locked="0"/>
    </xf>
    <xf numFmtId="0" fontId="23" fillId="11" borderId="1" xfId="0" applyFont="1" applyFill="1" applyBorder="1" applyProtection="1">
      <protection locked="0"/>
    </xf>
    <xf numFmtId="19" fontId="0" fillId="12" borderId="1" xfId="0" applyNumberFormat="1" applyFill="1" applyBorder="1"/>
    <xf numFmtId="14" fontId="0" fillId="0" borderId="1" xfId="0" applyNumberFormat="1" applyBorder="1" applyAlignment="1" applyProtection="1">
      <alignment horizontal="right"/>
      <protection locked="0"/>
    </xf>
    <xf numFmtId="14" fontId="6" fillId="0" borderId="1" xfId="0" applyNumberFormat="1" applyFon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6" fillId="0" borderId="1" xfId="0" applyFont="1" applyBorder="1" applyAlignment="1" applyProtection="1">
      <alignment horizontal="right"/>
      <protection locked="0"/>
    </xf>
    <xf numFmtId="0" fontId="0" fillId="0" borderId="1" xfId="0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0" fontId="0" fillId="0" borderId="18" xfId="0" applyFont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4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NumberFormat="1" applyFill="1" applyBorder="1" applyAlignment="1" applyProtection="1">
      <alignment horizontal="right"/>
      <protection locked="0"/>
    </xf>
    <xf numFmtId="0" fontId="18" fillId="0" borderId="0" xfId="0" applyFont="1" applyProtection="1"/>
    <xf numFmtId="0" fontId="0" fillId="0" borderId="0" xfId="0" applyProtection="1"/>
    <xf numFmtId="0" fontId="17" fillId="0" borderId="0" xfId="0" quotePrefix="1" applyFont="1" applyProtection="1"/>
    <xf numFmtId="0" fontId="5" fillId="9" borderId="1" xfId="0" applyFont="1" applyFill="1" applyBorder="1" applyProtection="1"/>
    <xf numFmtId="0" fontId="6" fillId="0" borderId="0" xfId="0" applyFont="1" applyProtection="1"/>
    <xf numFmtId="0" fontId="0" fillId="9" borderId="1" xfId="0" applyFont="1" applyFill="1" applyBorder="1" applyProtection="1"/>
    <xf numFmtId="14" fontId="0" fillId="0" borderId="1" xfId="0" applyNumberFormat="1" applyBorder="1" applyProtection="1"/>
    <xf numFmtId="0" fontId="0" fillId="0" borderId="1" xfId="0" applyBorder="1" applyProtection="1"/>
    <xf numFmtId="0" fontId="29" fillId="9" borderId="22" xfId="0" quotePrefix="1" applyFont="1" applyFill="1" applyBorder="1" applyProtection="1"/>
    <xf numFmtId="0" fontId="0" fillId="9" borderId="12" xfId="0" applyFill="1" applyBorder="1" applyProtection="1"/>
    <xf numFmtId="0" fontId="0" fillId="9" borderId="19" xfId="0" applyFill="1" applyBorder="1" applyProtection="1"/>
    <xf numFmtId="0" fontId="17" fillId="9" borderId="13" xfId="0" applyFont="1" applyFill="1" applyBorder="1" applyProtection="1"/>
    <xf numFmtId="0" fontId="1" fillId="9" borderId="1" xfId="0" applyFont="1" applyFill="1" applyBorder="1" applyProtection="1"/>
    <xf numFmtId="0" fontId="0" fillId="9" borderId="18" xfId="0" applyFont="1" applyFill="1" applyBorder="1" applyProtection="1"/>
    <xf numFmtId="0" fontId="17" fillId="0" borderId="0" xfId="0" applyFont="1" applyProtection="1"/>
    <xf numFmtId="14" fontId="0" fillId="0" borderId="1" xfId="0" applyNumberFormat="1" applyBorder="1" applyProtection="1">
      <protection locked="0"/>
    </xf>
    <xf numFmtId="14" fontId="0" fillId="0" borderId="1" xfId="0" applyNumberFormat="1" applyFont="1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14" fontId="0" fillId="0" borderId="14" xfId="0" applyNumberFormat="1" applyBorder="1" applyProtection="1">
      <protection locked="0"/>
    </xf>
    <xf numFmtId="0" fontId="0" fillId="0" borderId="14" xfId="0" applyBorder="1" applyProtection="1">
      <protection locked="0"/>
    </xf>
    <xf numFmtId="0" fontId="9" fillId="3" borderId="8" xfId="0" applyFont="1" applyFill="1" applyBorder="1" applyAlignment="1">
      <alignment horizontal="center" wrapText="1"/>
    </xf>
    <xf numFmtId="0" fontId="9" fillId="3" borderId="0" xfId="0" applyFont="1" applyFill="1" applyBorder="1" applyAlignment="1">
      <alignment horizontal="center" wrapText="1"/>
    </xf>
    <xf numFmtId="0" fontId="9" fillId="3" borderId="3" xfId="0" applyFont="1" applyFill="1" applyBorder="1" applyAlignment="1">
      <alignment horizontal="center" wrapText="1"/>
    </xf>
  </cellXfs>
  <cellStyles count="59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6</xdr:row>
          <xdr:rowOff>152400</xdr:rowOff>
        </xdr:from>
        <xdr:to>
          <xdr:col>8</xdr:col>
          <xdr:colOff>177800</xdr:colOff>
          <xdr:row>9</xdr:row>
          <xdr:rowOff>165100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Return to default (clear)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76200</xdr:rowOff>
        </xdr:from>
        <xdr:to>
          <xdr:col>8</xdr:col>
          <xdr:colOff>228600</xdr:colOff>
          <xdr:row>14</xdr:row>
          <xdr:rowOff>177800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16</xdr:row>
          <xdr:rowOff>12700</xdr:rowOff>
        </xdr:from>
        <xdr:to>
          <xdr:col>8</xdr:col>
          <xdr:colOff>190500</xdr:colOff>
          <xdr:row>18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Convert Cookie Orders to Numbers, not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0</xdr:row>
          <xdr:rowOff>177800</xdr:rowOff>
        </xdr:from>
        <xdr:to>
          <xdr:col>12</xdr:col>
          <xdr:colOff>660400</xdr:colOff>
          <xdr:row>5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Removes rightmost order (use this to delete a mistake)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0</xdr:row>
          <xdr:rowOff>177800</xdr:rowOff>
        </xdr:from>
        <xdr:to>
          <xdr:col>6</xdr:col>
          <xdr:colOff>431800</xdr:colOff>
          <xdr:row>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Removes leftmost order if Status is "Invoicing"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0</xdr:row>
          <xdr:rowOff>127000</xdr:rowOff>
        </xdr:from>
        <xdr:to>
          <xdr:col>9</xdr:col>
          <xdr:colOff>12700</xdr:colOff>
          <xdr:row>5</xdr:row>
          <xdr:rowOff>50800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orders by Due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406400</xdr:colOff>
          <xdr:row>1</xdr:row>
          <xdr:rowOff>101600</xdr:rowOff>
        </xdr:from>
        <xdr:to>
          <xdr:col>19</xdr:col>
          <xdr:colOff>609600</xdr:colOff>
          <xdr:row>4</xdr:row>
          <xdr:rowOff>88900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Updates COTM in Ingredient_Inventory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1079500</xdr:colOff>
          <xdr:row>1</xdr:row>
          <xdr:rowOff>88900</xdr:rowOff>
        </xdr:from>
        <xdr:to>
          <xdr:col>3</xdr:col>
          <xdr:colOff>1066800</xdr:colOff>
          <xdr:row>5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Updates COTM in Ingredient_Inventory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1562100</xdr:colOff>
          <xdr:row>3</xdr:row>
          <xdr:rowOff>114300</xdr:rowOff>
        </xdr:from>
        <xdr:to>
          <xdr:col>10</xdr:col>
          <xdr:colOff>254000</xdr:colOff>
          <xdr:row>5</xdr:row>
          <xdr:rowOff>266700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Auto Fill Inventory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1079500</xdr:colOff>
          <xdr:row>1</xdr:row>
          <xdr:rowOff>63500</xdr:rowOff>
        </xdr:from>
        <xdr:to>
          <xdr:col>4</xdr:col>
          <xdr:colOff>190500</xdr:colOff>
          <xdr:row>3</xdr:row>
          <xdr:rowOff>50800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 purchased ingredients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3</xdr:row>
          <xdr:rowOff>139700</xdr:rowOff>
        </xdr:from>
        <xdr:to>
          <xdr:col>4</xdr:col>
          <xdr:colOff>228600</xdr:colOff>
          <xdr:row>5</xdr:row>
          <xdr:rowOff>152400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Undo addition of  ingredients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393700</xdr:colOff>
          <xdr:row>3</xdr:row>
          <xdr:rowOff>139700</xdr:rowOff>
        </xdr:from>
        <xdr:to>
          <xdr:col>10</xdr:col>
          <xdr:colOff>1308100</xdr:colOff>
          <xdr:row>5</xdr:row>
          <xdr:rowOff>431800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Inventory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39</xdr:row>
          <xdr:rowOff>101600</xdr:rowOff>
        </xdr:from>
        <xdr:to>
          <xdr:col>19</xdr:col>
          <xdr:colOff>0</xdr:colOff>
          <xdr:row>42</xdr:row>
          <xdr:rowOff>177800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Undo Cookie Addition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</xdr:row>
          <xdr:rowOff>114300</xdr:rowOff>
        </xdr:from>
        <xdr:to>
          <xdr:col>1</xdr:col>
          <xdr:colOff>660400</xdr:colOff>
          <xdr:row>4</xdr:row>
          <xdr:rowOff>101600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 weekly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38</xdr:row>
          <xdr:rowOff>76200</xdr:rowOff>
        </xdr:from>
        <xdr:to>
          <xdr:col>7</xdr:col>
          <xdr:colOff>431800</xdr:colOff>
          <xdr:row>41</xdr:row>
          <xdr:rowOff>38100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 cookie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42</xdr:row>
          <xdr:rowOff>177800</xdr:rowOff>
        </xdr:from>
        <xdr:to>
          <xdr:col>7</xdr:col>
          <xdr:colOff>431800</xdr:colOff>
          <xdr:row>45</xdr:row>
          <xdr:rowOff>139700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Undo cookie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635000</xdr:colOff>
          <xdr:row>38</xdr:row>
          <xdr:rowOff>127000</xdr:rowOff>
        </xdr:from>
        <xdr:to>
          <xdr:col>12</xdr:col>
          <xdr:colOff>393700</xdr:colOff>
          <xdr:row>41</xdr:row>
          <xdr:rowOff>101600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 ingredient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622300</xdr:colOff>
          <xdr:row>42</xdr:row>
          <xdr:rowOff>152400</xdr:rowOff>
        </xdr:from>
        <xdr:to>
          <xdr:col>12</xdr:col>
          <xdr:colOff>368300</xdr:colOff>
          <xdr:row>45</xdr:row>
          <xdr:rowOff>88900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Undo ingredient inventory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60</xdr:row>
          <xdr:rowOff>88900</xdr:rowOff>
        </xdr:from>
        <xdr:to>
          <xdr:col>3</xdr:col>
          <xdr:colOff>800100</xdr:colOff>
          <xdr:row>64</xdr:row>
          <xdr:rowOff>76200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 reserved cookies/pucks from baking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54</xdr:row>
          <xdr:rowOff>139700</xdr:rowOff>
        </xdr:from>
        <xdr:to>
          <xdr:col>7</xdr:col>
          <xdr:colOff>228600</xdr:colOff>
          <xdr:row>57</xdr:row>
          <xdr:rowOff>50800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Cookie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660400</xdr:colOff>
          <xdr:row>47</xdr:row>
          <xdr:rowOff>177800</xdr:rowOff>
        </xdr:from>
        <xdr:to>
          <xdr:col>12</xdr:col>
          <xdr:colOff>228600</xdr:colOff>
          <xdr:row>50</xdr:row>
          <xdr:rowOff>88900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Ingredient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</xdr:row>
          <xdr:rowOff>101600</xdr:rowOff>
        </xdr:from>
        <xdr:to>
          <xdr:col>3</xdr:col>
          <xdr:colOff>825500</xdr:colOff>
          <xdr:row>4</xdr:row>
          <xdr:rowOff>101600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Change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60</xdr:row>
          <xdr:rowOff>76200</xdr:rowOff>
        </xdr:from>
        <xdr:to>
          <xdr:col>5</xdr:col>
          <xdr:colOff>939800</xdr:colOff>
          <xdr:row>63</xdr:row>
          <xdr:rowOff>152400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 available cookies from baking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368300</xdr:colOff>
          <xdr:row>47</xdr:row>
          <xdr:rowOff>25400</xdr:rowOff>
        </xdr:from>
        <xdr:to>
          <xdr:col>7</xdr:col>
          <xdr:colOff>342900</xdr:colOff>
          <xdr:row>50</xdr:row>
          <xdr:rowOff>63500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Move available inventory to reserved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431800</xdr:colOff>
          <xdr:row>50</xdr:row>
          <xdr:rowOff>139700</xdr:rowOff>
        </xdr:from>
        <xdr:to>
          <xdr:col>7</xdr:col>
          <xdr:colOff>482600</xdr:colOff>
          <xdr:row>54</xdr:row>
          <xdr:rowOff>25400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Move reserved inventory back to available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1</xdr:row>
          <xdr:rowOff>76200</xdr:rowOff>
        </xdr:from>
        <xdr:to>
          <xdr:col>28</xdr:col>
          <xdr:colOff>393700</xdr:colOff>
          <xdr:row>4</xdr:row>
          <xdr:rowOff>76200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Emergency Date Update Shortcut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4</xdr:row>
          <xdr:rowOff>101600</xdr:rowOff>
        </xdr:from>
        <xdr:to>
          <xdr:col>8</xdr:col>
          <xdr:colOff>495300</xdr:colOff>
          <xdr:row>8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 Purchased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393700</xdr:colOff>
          <xdr:row>9</xdr:row>
          <xdr:rowOff>38100</xdr:rowOff>
        </xdr:from>
        <xdr:to>
          <xdr:col>8</xdr:col>
          <xdr:colOff>444500</xdr:colOff>
          <xdr:row>12</xdr:row>
          <xdr:rowOff>127000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Undo Materials Addition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393700</xdr:colOff>
          <xdr:row>13</xdr:row>
          <xdr:rowOff>152400</xdr:rowOff>
        </xdr:from>
        <xdr:to>
          <xdr:col>8</xdr:col>
          <xdr:colOff>393700</xdr:colOff>
          <xdr:row>16</xdr:row>
          <xdr:rowOff>50800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Inventory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</xdr:row>
          <xdr:rowOff>50800</xdr:rowOff>
        </xdr:from>
        <xdr:to>
          <xdr:col>2</xdr:col>
          <xdr:colOff>508000</xdr:colOff>
          <xdr:row>7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 packaging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127000</xdr:rowOff>
        </xdr:from>
        <xdr:to>
          <xdr:col>2</xdr:col>
          <xdr:colOff>495300</xdr:colOff>
          <xdr:row>13</xdr:row>
          <xdr:rowOff>38100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Packaging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19</xdr:row>
          <xdr:rowOff>152400</xdr:rowOff>
        </xdr:from>
        <xdr:to>
          <xdr:col>2</xdr:col>
          <xdr:colOff>520700</xdr:colOff>
          <xdr:row>23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rightmost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14</xdr:row>
          <xdr:rowOff>139700</xdr:rowOff>
        </xdr:from>
        <xdr:to>
          <xdr:col>2</xdr:col>
          <xdr:colOff>622300</xdr:colOff>
          <xdr:row>18</xdr:row>
          <xdr:rowOff>114300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Complete leftmost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3</xdr:row>
          <xdr:rowOff>38100</xdr:rowOff>
        </xdr:from>
        <xdr:to>
          <xdr:col>2</xdr:col>
          <xdr:colOff>508000</xdr:colOff>
          <xdr:row>7</xdr:row>
          <xdr:rowOff>127000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 shipping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9</xdr:row>
          <xdr:rowOff>76200</xdr:rowOff>
        </xdr:from>
        <xdr:to>
          <xdr:col>2</xdr:col>
          <xdr:colOff>482600</xdr:colOff>
          <xdr:row>13</xdr:row>
          <xdr:rowOff>88900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Shipping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15</xdr:row>
          <xdr:rowOff>25400</xdr:rowOff>
        </xdr:from>
        <xdr:to>
          <xdr:col>2</xdr:col>
          <xdr:colOff>482600</xdr:colOff>
          <xdr:row>18</xdr:row>
          <xdr:rowOff>165100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Complete Leftmost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20</xdr:row>
          <xdr:rowOff>38100</xdr:rowOff>
        </xdr:from>
        <xdr:to>
          <xdr:col>2</xdr:col>
          <xdr:colOff>495300</xdr:colOff>
          <xdr:row>23</xdr:row>
          <xdr:rowOff>114300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Rightmost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50800</xdr:rowOff>
        </xdr:from>
        <xdr:to>
          <xdr:col>1</xdr:col>
          <xdr:colOff>1003300</xdr:colOff>
          <xdr:row>10</xdr:row>
          <xdr:rowOff>127000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Refresh Invoice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11</xdr:row>
          <xdr:rowOff>165100</xdr:rowOff>
        </xdr:from>
        <xdr:to>
          <xdr:col>1</xdr:col>
          <xdr:colOff>1003300</xdr:colOff>
          <xdr:row>16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Invoice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17</xdr:row>
          <xdr:rowOff>114300</xdr:rowOff>
        </xdr:from>
        <xdr:to>
          <xdr:col>1</xdr:col>
          <xdr:colOff>977900</xdr:colOff>
          <xdr:row>21</xdr:row>
          <xdr:rowOff>177800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Complete and archive leftmost order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24</xdr:row>
          <xdr:rowOff>25400</xdr:rowOff>
        </xdr:from>
        <xdr:to>
          <xdr:col>1</xdr:col>
          <xdr:colOff>965200</xdr:colOff>
          <xdr:row>27</xdr:row>
          <xdr:rowOff>152400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rightmost order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ee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MasterSchedule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QMasterSchedul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trlProp" Target="../ctrlProps/ctrlProp5.xml"/><Relationship Id="rId5" Type="http://schemas.openxmlformats.org/officeDocument/2006/relationships/ctrlProp" Target="../ctrlProps/ctrlProp6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4" Type="http://schemas.openxmlformats.org/officeDocument/2006/relationships/ctrlProp" Target="../ctrlProps/ctrlProp10.xml"/><Relationship Id="rId5" Type="http://schemas.openxmlformats.org/officeDocument/2006/relationships/ctrlProp" Target="../ctrlProps/ctrlProp11.xml"/><Relationship Id="rId6" Type="http://schemas.openxmlformats.org/officeDocument/2006/relationships/ctrlProp" Target="../ctrlProps/ctrlProp12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21.xml"/><Relationship Id="rId12" Type="http://schemas.openxmlformats.org/officeDocument/2006/relationships/ctrlProp" Target="../ctrlProps/ctrlProp22.xml"/><Relationship Id="rId13" Type="http://schemas.openxmlformats.org/officeDocument/2006/relationships/ctrlProp" Target="../ctrlProps/ctrlProp23.xml"/><Relationship Id="rId14" Type="http://schemas.openxmlformats.org/officeDocument/2006/relationships/ctrlProp" Target="../ctrlProps/ctrlProp24.xml"/><Relationship Id="rId15" Type="http://schemas.openxmlformats.org/officeDocument/2006/relationships/ctrlProp" Target="../ctrlProps/ctrlProp25.xml"/><Relationship Id="rId16" Type="http://schemas.openxmlformats.org/officeDocument/2006/relationships/ctrlProp" Target="../ctrlProps/ctrlProp26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3.xml"/><Relationship Id="rId4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6" Type="http://schemas.openxmlformats.org/officeDocument/2006/relationships/ctrlProp" Target="../ctrlProps/ctrlProp16.xml"/><Relationship Id="rId7" Type="http://schemas.openxmlformats.org/officeDocument/2006/relationships/ctrlProp" Target="../ctrlProps/ctrlProp17.xml"/><Relationship Id="rId8" Type="http://schemas.openxmlformats.org/officeDocument/2006/relationships/ctrlProp" Target="../ctrlProps/ctrlProp18.xml"/><Relationship Id="rId9" Type="http://schemas.openxmlformats.org/officeDocument/2006/relationships/ctrlProp" Target="../ctrlProps/ctrlProp19.xml"/><Relationship Id="rId10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4" Type="http://schemas.openxmlformats.org/officeDocument/2006/relationships/ctrlProp" Target="../ctrlProps/ctrlProp28.xml"/><Relationship Id="rId5" Type="http://schemas.openxmlformats.org/officeDocument/2006/relationships/ctrlProp" Target="../ctrlProps/ctrlProp29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4" Type="http://schemas.openxmlformats.org/officeDocument/2006/relationships/ctrlProp" Target="../ctrlProps/ctrlProp31.xml"/><Relationship Id="rId5" Type="http://schemas.openxmlformats.org/officeDocument/2006/relationships/ctrlProp" Target="../ctrlProps/ctrlProp32.xml"/><Relationship Id="rId6" Type="http://schemas.openxmlformats.org/officeDocument/2006/relationships/ctrlProp" Target="../ctrlProps/ctrlProp33.xml"/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4" Type="http://schemas.openxmlformats.org/officeDocument/2006/relationships/ctrlProp" Target="../ctrlProps/ctrlProp35.xml"/><Relationship Id="rId5" Type="http://schemas.openxmlformats.org/officeDocument/2006/relationships/ctrlProp" Target="../ctrlProps/ctrlProp36.xml"/><Relationship Id="rId6" Type="http://schemas.openxmlformats.org/officeDocument/2006/relationships/ctrlProp" Target="../ctrlProps/ctrlProp37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4" Type="http://schemas.openxmlformats.org/officeDocument/2006/relationships/ctrlProp" Target="../ctrlProps/ctrlProp39.xml"/><Relationship Id="rId5" Type="http://schemas.openxmlformats.org/officeDocument/2006/relationships/ctrlProp" Target="../ctrlProps/ctrlProp40.xml"/><Relationship Id="rId6" Type="http://schemas.openxmlformats.org/officeDocument/2006/relationships/ctrlProp" Target="../ctrlProps/ctrlProp41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B4:M40"/>
  <sheetViews>
    <sheetView showRuler="0" workbookViewId="0">
      <selection activeCell="D16" sqref="D16"/>
    </sheetView>
  </sheetViews>
  <sheetFormatPr baseColWidth="10" defaultRowHeight="15" x14ac:dyDescent="0"/>
  <cols>
    <col min="2" max="2" width="24.1640625" bestFit="1" customWidth="1"/>
    <col min="3" max="3" width="14.33203125" bestFit="1" customWidth="1"/>
    <col min="4" max="4" width="12.1640625" bestFit="1" customWidth="1"/>
    <col min="10" max="10" width="11.6640625" bestFit="1" customWidth="1"/>
  </cols>
  <sheetData>
    <row r="4" spans="2:13">
      <c r="B4" t="s">
        <v>138</v>
      </c>
      <c r="C4" s="35" t="s">
        <v>4</v>
      </c>
      <c r="E4" s="30"/>
    </row>
    <row r="5" spans="2:13">
      <c r="B5" s="33" t="s">
        <v>140</v>
      </c>
      <c r="C5" s="149"/>
      <c r="E5" s="30"/>
    </row>
    <row r="6" spans="2:13">
      <c r="B6" s="33" t="s">
        <v>139</v>
      </c>
      <c r="C6" s="99"/>
      <c r="E6" s="30"/>
      <c r="J6" s="39" t="s">
        <v>194</v>
      </c>
      <c r="K6" s="39"/>
      <c r="L6" s="39"/>
      <c r="M6" s="39"/>
    </row>
    <row r="7" spans="2:13">
      <c r="B7" s="33" t="s">
        <v>23</v>
      </c>
      <c r="C7" s="100"/>
      <c r="E7" s="30"/>
      <c r="J7" s="36" t="s">
        <v>144</v>
      </c>
    </row>
    <row r="8" spans="2:13">
      <c r="B8" s="33" t="s">
        <v>131</v>
      </c>
      <c r="C8" s="100"/>
      <c r="E8" s="30"/>
      <c r="J8" s="36" t="s">
        <v>292</v>
      </c>
    </row>
    <row r="9" spans="2:13">
      <c r="B9" s="33" t="s">
        <v>132</v>
      </c>
      <c r="C9" s="100"/>
      <c r="E9" s="30"/>
      <c r="J9" s="36" t="s">
        <v>195</v>
      </c>
    </row>
    <row r="10" spans="2:13">
      <c r="B10" s="33" t="s">
        <v>143</v>
      </c>
      <c r="C10" s="98">
        <f ca="1">TODAY()</f>
        <v>43311</v>
      </c>
      <c r="D10" s="51" t="s">
        <v>147</v>
      </c>
      <c r="E10" s="70">
        <f ca="1">TODAY()</f>
        <v>43311</v>
      </c>
      <c r="J10" s="36" t="s">
        <v>145</v>
      </c>
    </row>
    <row r="11" spans="2:13">
      <c r="B11" s="33" t="s">
        <v>135</v>
      </c>
      <c r="C11" s="98"/>
      <c r="J11" s="37" t="s">
        <v>146</v>
      </c>
    </row>
    <row r="12" spans="2:13">
      <c r="B12" s="33" t="s">
        <v>133</v>
      </c>
      <c r="C12" s="150"/>
    </row>
    <row r="13" spans="2:13">
      <c r="B13" s="33" t="s">
        <v>134</v>
      </c>
      <c r="C13" s="101"/>
      <c r="J13" s="39" t="s">
        <v>193</v>
      </c>
      <c r="K13" s="39"/>
      <c r="L13" s="51"/>
      <c r="M13" s="41"/>
    </row>
    <row r="14" spans="2:13">
      <c r="B14" s="33" t="s">
        <v>141</v>
      </c>
      <c r="C14" s="101"/>
      <c r="J14" s="36" t="s">
        <v>190</v>
      </c>
    </row>
    <row r="15" spans="2:13">
      <c r="B15" s="33" t="s">
        <v>142</v>
      </c>
      <c r="C15" s="33">
        <v>2</v>
      </c>
      <c r="J15" s="36" t="s">
        <v>191</v>
      </c>
    </row>
    <row r="16" spans="2:13">
      <c r="B16" s="34" t="s">
        <v>0</v>
      </c>
      <c r="C16" s="101">
        <v>0</v>
      </c>
      <c r="J16" s="37" t="s">
        <v>192</v>
      </c>
    </row>
    <row r="17" spans="2:3">
      <c r="B17" s="34" t="s">
        <v>5</v>
      </c>
      <c r="C17" s="101">
        <v>0</v>
      </c>
    </row>
    <row r="18" spans="2:3">
      <c r="B18" s="34" t="s">
        <v>6</v>
      </c>
      <c r="C18" s="101">
        <v>0</v>
      </c>
    </row>
    <row r="19" spans="2:3">
      <c r="B19" s="34" t="s">
        <v>7</v>
      </c>
      <c r="C19" s="101">
        <v>0</v>
      </c>
    </row>
    <row r="20" spans="2:3">
      <c r="B20" s="34" t="s">
        <v>8</v>
      </c>
      <c r="C20" s="101">
        <v>0</v>
      </c>
    </row>
    <row r="21" spans="2:3">
      <c r="B21" s="34" t="s">
        <v>3</v>
      </c>
      <c r="C21" s="101">
        <v>0</v>
      </c>
    </row>
    <row r="22" spans="2:3">
      <c r="B22" s="34" t="s">
        <v>9</v>
      </c>
      <c r="C22" s="101">
        <v>0</v>
      </c>
    </row>
    <row r="23" spans="2:3">
      <c r="B23" s="34" t="s">
        <v>10</v>
      </c>
      <c r="C23" s="101">
        <v>0</v>
      </c>
    </row>
    <row r="24" spans="2:3">
      <c r="B24" s="34" t="s">
        <v>11</v>
      </c>
      <c r="C24" s="101">
        <v>0</v>
      </c>
    </row>
    <row r="25" spans="2:3">
      <c r="B25" s="34" t="s">
        <v>1</v>
      </c>
      <c r="C25" s="101">
        <v>0</v>
      </c>
    </row>
    <row r="26" spans="2:3">
      <c r="B26" s="34" t="s">
        <v>12</v>
      </c>
      <c r="C26" s="101">
        <v>0</v>
      </c>
    </row>
    <row r="27" spans="2:3">
      <c r="B27" s="34" t="s">
        <v>13</v>
      </c>
      <c r="C27" s="101">
        <v>0</v>
      </c>
    </row>
    <row r="28" spans="2:3">
      <c r="B28" s="34" t="s">
        <v>14</v>
      </c>
      <c r="C28" s="101">
        <v>0</v>
      </c>
    </row>
    <row r="29" spans="2:3">
      <c r="B29" s="34" t="s">
        <v>15</v>
      </c>
      <c r="C29" s="101">
        <v>0</v>
      </c>
    </row>
    <row r="30" spans="2:3">
      <c r="B30" s="34" t="s">
        <v>16</v>
      </c>
      <c r="C30" s="101">
        <v>0</v>
      </c>
    </row>
    <row r="31" spans="2:3">
      <c r="B31" s="34" t="s">
        <v>17</v>
      </c>
      <c r="C31" s="101">
        <v>0</v>
      </c>
    </row>
    <row r="32" spans="2:3">
      <c r="B32" s="34" t="s">
        <v>18</v>
      </c>
      <c r="C32" s="101">
        <v>0</v>
      </c>
    </row>
    <row r="33" spans="2:3">
      <c r="B33" s="34" t="s">
        <v>19</v>
      </c>
      <c r="C33" s="101">
        <v>0</v>
      </c>
    </row>
    <row r="34" spans="2:3">
      <c r="B34" s="34" t="s">
        <v>24</v>
      </c>
      <c r="C34" s="101">
        <v>0</v>
      </c>
    </row>
    <row r="35" spans="2:3">
      <c r="B35" s="34" t="s">
        <v>20</v>
      </c>
      <c r="C35" s="101">
        <v>0</v>
      </c>
    </row>
    <row r="36" spans="2:3">
      <c r="B36" s="34" t="s">
        <v>21</v>
      </c>
      <c r="C36" s="101">
        <v>0</v>
      </c>
    </row>
    <row r="37" spans="2:3">
      <c r="B37" s="34" t="s">
        <v>22</v>
      </c>
      <c r="C37" s="101">
        <v>0</v>
      </c>
    </row>
    <row r="38" spans="2:3">
      <c r="B38" s="33" t="s">
        <v>175</v>
      </c>
      <c r="C38" s="33">
        <f>SUM(Input_Cookie_Type_Array)</f>
        <v>0</v>
      </c>
    </row>
    <row r="39" spans="2:3">
      <c r="B39" s="33" t="s">
        <v>136</v>
      </c>
      <c r="C39" s="100"/>
    </row>
    <row r="40" spans="2:3">
      <c r="B40" s="33" t="s">
        <v>137</v>
      </c>
      <c r="C40" s="100"/>
    </row>
  </sheetData>
  <sheetProtection sheet="1" objects="1" scenarios="1"/>
  <conditionalFormatting sqref="C10">
    <cfRule type="expression" dxfId="7" priority="2">
      <formula>($C$10&gt;$E$10)</formula>
    </cfRule>
  </conditionalFormatting>
  <conditionalFormatting sqref="C5">
    <cfRule type="expression" dxfId="6" priority="1">
      <formula>($C$5&lt;$E$10)</formula>
    </cfRule>
  </conditionalFormatting>
  <dataValidations count="3">
    <dataValidation type="whole" operator="greaterThanOrEqual" allowBlank="1" showInputMessage="1" showErrorMessage="1" sqref="C16:C37">
      <formula1>0</formula1>
    </dataValidation>
    <dataValidation type="list" allowBlank="1" showInputMessage="1" showErrorMessage="1" sqref="C11">
      <formula1>$J$14:$J$16</formula1>
    </dataValidation>
    <dataValidation type="list" allowBlank="1" showInputMessage="1" showErrorMessage="1" sqref="C14">
      <formula1>$J$7:$J$11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_data_input">
                <anchor moveWithCells="1" sizeWithCells="1">
                  <from>
                    <xdr:col>5</xdr:col>
                    <xdr:colOff>508000</xdr:colOff>
                    <xdr:row>6</xdr:row>
                    <xdr:rowOff>152400</xdr:rowOff>
                  </from>
                  <to>
                    <xdr:col>8</xdr:col>
                    <xdr:colOff>177800</xdr:colOff>
                    <xdr:row>9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odule5.data_input">
                <anchor moveWithCells="1" sizeWithCells="1">
                  <from>
                    <xdr:col>5</xdr:col>
                    <xdr:colOff>520700</xdr:colOff>
                    <xdr:row>11</xdr:row>
                    <xdr:rowOff>76200</xdr:rowOff>
                  </from>
                  <to>
                    <xdr:col>8</xdr:col>
                    <xdr:colOff>228600</xdr:colOff>
                    <xdr:row>14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onvert_type_to_general">
                <anchor moveWithCells="1" sizeWithCells="1">
                  <from>
                    <xdr:col>5</xdr:col>
                    <xdr:colOff>520700</xdr:colOff>
                    <xdr:row>16</xdr:row>
                    <xdr:rowOff>12700</xdr:rowOff>
                  </from>
                  <to>
                    <xdr:col>8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2:BA45"/>
  <sheetViews>
    <sheetView showRuler="0" topLeftCell="A7" workbookViewId="0">
      <selection activeCell="G7" sqref="G7"/>
    </sheetView>
  </sheetViews>
  <sheetFormatPr baseColWidth="10" defaultRowHeight="15" x14ac:dyDescent="0"/>
  <cols>
    <col min="2" max="2" width="20.33203125" bestFit="1" customWidth="1"/>
    <col min="3" max="3" width="14.33203125" bestFit="1" customWidth="1"/>
    <col min="4" max="4" width="24.1640625" bestFit="1" customWidth="1"/>
    <col min="5" max="5" width="14.1640625" bestFit="1" customWidth="1"/>
    <col min="9" max="9" width="12.33203125" bestFit="1" customWidth="1"/>
    <col min="10" max="10" width="9" bestFit="1" customWidth="1"/>
    <col min="40" max="40" width="13.33203125" customWidth="1"/>
  </cols>
  <sheetData>
    <row r="2" spans="2:53">
      <c r="B2" s="151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52"/>
      <c r="AO2" s="152"/>
      <c r="AP2" s="152"/>
      <c r="AQ2" s="152"/>
      <c r="AR2" s="152"/>
      <c r="AS2" s="152"/>
      <c r="AT2" s="152"/>
      <c r="AU2" s="152"/>
      <c r="AV2" s="152"/>
      <c r="AW2" s="152"/>
      <c r="AX2" s="152"/>
      <c r="AY2" s="152"/>
      <c r="AZ2" s="152"/>
      <c r="BA2" s="152"/>
    </row>
    <row r="3" spans="2:53">
      <c r="B3" s="152"/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  <c r="AH3" s="152"/>
      <c r="AI3" s="152"/>
      <c r="AJ3" s="152"/>
      <c r="AK3" s="152"/>
      <c r="AL3" s="152"/>
      <c r="AM3" s="152"/>
      <c r="AN3" s="152"/>
      <c r="AO3" s="152"/>
      <c r="AP3" s="152"/>
      <c r="AQ3" s="152"/>
      <c r="AR3" s="152"/>
      <c r="AS3" s="152"/>
      <c r="AT3" s="152"/>
      <c r="AU3" s="152"/>
      <c r="AV3" s="152"/>
      <c r="AW3" s="152"/>
      <c r="AX3" s="152"/>
      <c r="AY3" s="152"/>
      <c r="AZ3" s="152"/>
      <c r="BA3" s="152"/>
    </row>
    <row r="4" spans="2:53">
      <c r="B4" s="153"/>
      <c r="C4" s="152"/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2"/>
      <c r="AJ4" s="152"/>
      <c r="AK4" s="152"/>
      <c r="AL4" s="152"/>
      <c r="AM4" s="152"/>
      <c r="AN4" s="152"/>
      <c r="AO4" s="152"/>
      <c r="AP4" s="152"/>
      <c r="AQ4" s="152"/>
      <c r="AR4" s="152"/>
      <c r="AS4" s="152"/>
      <c r="AT4" s="152"/>
      <c r="AU4" s="152"/>
      <c r="AV4" s="152"/>
      <c r="AW4" s="152"/>
      <c r="AX4" s="152"/>
      <c r="AY4" s="152"/>
      <c r="AZ4" s="152"/>
      <c r="BA4" s="152"/>
    </row>
    <row r="5" spans="2:53">
      <c r="B5" s="153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2"/>
      <c r="AZ5" s="152"/>
      <c r="BA5" s="152"/>
    </row>
    <row r="6" spans="2:53">
      <c r="B6" s="153"/>
      <c r="C6" s="152"/>
      <c r="D6" s="154" t="s">
        <v>92</v>
      </c>
      <c r="E6" s="152"/>
      <c r="F6" s="155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  <c r="AH6" s="152"/>
      <c r="AI6" s="152"/>
      <c r="AJ6" s="152"/>
      <c r="AK6" s="152"/>
      <c r="AL6" s="152"/>
      <c r="AM6" s="152"/>
      <c r="AN6" s="152"/>
      <c r="AO6" s="152"/>
      <c r="AP6" s="152"/>
      <c r="AQ6" s="152"/>
      <c r="AR6" s="152"/>
      <c r="AS6" s="152"/>
      <c r="AT6" s="152"/>
      <c r="AU6" s="152"/>
      <c r="AV6" s="152"/>
      <c r="AW6" s="152"/>
      <c r="AX6" s="152"/>
      <c r="AY6" s="152"/>
      <c r="AZ6" s="152"/>
      <c r="BA6" s="152"/>
    </row>
    <row r="7" spans="2:53">
      <c r="B7" s="153"/>
      <c r="C7" s="152"/>
      <c r="D7" s="156" t="s">
        <v>140</v>
      </c>
      <c r="E7" s="166">
        <v>42699</v>
      </c>
      <c r="F7" s="166"/>
      <c r="G7" s="166"/>
      <c r="H7" s="166"/>
      <c r="I7" s="166"/>
      <c r="J7" s="169"/>
      <c r="K7" s="166"/>
      <c r="L7" s="166"/>
      <c r="M7" s="166"/>
      <c r="N7" s="166"/>
      <c r="O7" s="166"/>
      <c r="P7" s="141"/>
      <c r="Q7" s="142"/>
      <c r="R7" s="166"/>
      <c r="S7" s="166"/>
      <c r="T7" s="166"/>
      <c r="U7" s="167"/>
      <c r="V7" s="141"/>
      <c r="W7" s="141"/>
      <c r="X7" s="141"/>
      <c r="Y7" s="167"/>
      <c r="Z7" s="167"/>
      <c r="AA7" s="167"/>
      <c r="AB7" s="141"/>
      <c r="AC7" s="166"/>
      <c r="AD7" s="141"/>
      <c r="AE7" s="141"/>
      <c r="AF7" s="142"/>
      <c r="AG7" s="141"/>
      <c r="AH7" s="141"/>
      <c r="AI7" s="141"/>
      <c r="AJ7" s="141"/>
      <c r="AK7" s="141"/>
      <c r="AL7" s="141"/>
      <c r="AM7" s="141"/>
      <c r="AN7" s="141"/>
      <c r="AO7" s="157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</row>
    <row r="8" spans="2:53">
      <c r="B8" s="153"/>
      <c r="C8" s="152"/>
      <c r="D8" s="156" t="s">
        <v>139</v>
      </c>
      <c r="E8" s="148" t="s">
        <v>293</v>
      </c>
      <c r="F8" s="148"/>
      <c r="G8" s="148"/>
      <c r="H8" s="148"/>
      <c r="I8" s="148"/>
      <c r="J8" s="170"/>
      <c r="K8" s="148"/>
      <c r="L8" s="148"/>
      <c r="M8" s="148"/>
      <c r="N8" s="148"/>
      <c r="O8" s="148"/>
      <c r="P8" s="143"/>
      <c r="Q8" s="142"/>
      <c r="R8" s="148"/>
      <c r="S8" s="148"/>
      <c r="T8" s="148"/>
      <c r="U8" s="145"/>
      <c r="V8" s="143"/>
      <c r="W8" s="143"/>
      <c r="X8" s="143"/>
      <c r="Y8" s="145"/>
      <c r="Z8" s="145"/>
      <c r="AA8" s="145"/>
      <c r="AB8" s="143"/>
      <c r="AC8" s="148"/>
      <c r="AD8" s="143"/>
      <c r="AE8" s="143"/>
      <c r="AF8" s="144"/>
      <c r="AG8" s="143"/>
      <c r="AH8" s="143"/>
      <c r="AI8" s="143"/>
      <c r="AJ8" s="143"/>
      <c r="AK8" s="143"/>
      <c r="AL8" s="143"/>
      <c r="AM8" s="143"/>
      <c r="AN8" s="143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</row>
    <row r="9" spans="2:53">
      <c r="B9" s="153"/>
      <c r="C9" s="152"/>
      <c r="D9" s="156" t="s">
        <v>23</v>
      </c>
      <c r="E9" s="148"/>
      <c r="F9" s="148"/>
      <c r="G9" s="148"/>
      <c r="H9" s="148"/>
      <c r="I9" s="148"/>
      <c r="J9" s="170"/>
      <c r="K9" s="148"/>
      <c r="L9" s="148"/>
      <c r="M9" s="148"/>
      <c r="N9" s="148"/>
      <c r="O9" s="148"/>
      <c r="P9" s="143"/>
      <c r="Q9" s="144"/>
      <c r="R9" s="148"/>
      <c r="S9" s="148"/>
      <c r="T9" s="148"/>
      <c r="U9" s="145"/>
      <c r="V9" s="143"/>
      <c r="W9" s="143"/>
      <c r="X9" s="143"/>
      <c r="Y9" s="145"/>
      <c r="Z9" s="145"/>
      <c r="AA9" s="145"/>
      <c r="AB9" s="143"/>
      <c r="AC9" s="148"/>
      <c r="AD9" s="143"/>
      <c r="AE9" s="143"/>
      <c r="AF9" s="144"/>
      <c r="AG9" s="143"/>
      <c r="AH9" s="143"/>
      <c r="AI9" s="143"/>
      <c r="AJ9" s="143"/>
      <c r="AK9" s="143"/>
      <c r="AL9" s="143"/>
      <c r="AM9" s="143"/>
      <c r="AN9" s="143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</row>
    <row r="10" spans="2:53">
      <c r="B10" s="153"/>
      <c r="C10" s="152"/>
      <c r="D10" s="156" t="s">
        <v>131</v>
      </c>
      <c r="E10" s="148"/>
      <c r="F10" s="148"/>
      <c r="G10" s="148"/>
      <c r="H10" s="148"/>
      <c r="I10" s="148"/>
      <c r="J10" s="170"/>
      <c r="K10" s="148"/>
      <c r="L10" s="148"/>
      <c r="M10" s="148"/>
      <c r="N10" s="148"/>
      <c r="O10" s="148"/>
      <c r="P10" s="143"/>
      <c r="Q10" s="144"/>
      <c r="R10" s="148"/>
      <c r="S10" s="148"/>
      <c r="T10" s="148"/>
      <c r="U10" s="145"/>
      <c r="V10" s="143"/>
      <c r="W10" s="143"/>
      <c r="X10" s="143"/>
      <c r="Y10" s="145"/>
      <c r="Z10" s="145"/>
      <c r="AA10" s="145"/>
      <c r="AB10" s="143"/>
      <c r="AC10" s="148"/>
      <c r="AD10" s="143"/>
      <c r="AE10" s="143"/>
      <c r="AF10" s="144"/>
      <c r="AG10" s="143"/>
      <c r="AH10" s="143"/>
      <c r="AI10" s="143"/>
      <c r="AJ10" s="143"/>
      <c r="AK10" s="143"/>
      <c r="AL10" s="143"/>
      <c r="AM10" s="143"/>
      <c r="AN10" s="143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</row>
    <row r="11" spans="2:53">
      <c r="B11" s="153"/>
      <c r="C11" s="152"/>
      <c r="D11" s="156" t="s">
        <v>132</v>
      </c>
      <c r="E11" s="148"/>
      <c r="F11" s="148"/>
      <c r="G11" s="148"/>
      <c r="H11" s="148"/>
      <c r="I11" s="148"/>
      <c r="J11" s="170"/>
      <c r="K11" s="148"/>
      <c r="L11" s="148"/>
      <c r="M11" s="148"/>
      <c r="N11" s="148"/>
      <c r="O11" s="148"/>
      <c r="P11" s="143"/>
      <c r="Q11" s="144"/>
      <c r="R11" s="148"/>
      <c r="S11" s="148"/>
      <c r="T11" s="148"/>
      <c r="U11" s="145"/>
      <c r="V11" s="143"/>
      <c r="W11" s="143"/>
      <c r="X11" s="143"/>
      <c r="Y11" s="145"/>
      <c r="Z11" s="145"/>
      <c r="AA11" s="145"/>
      <c r="AB11" s="143"/>
      <c r="AC11" s="148"/>
      <c r="AD11" s="143"/>
      <c r="AE11" s="143"/>
      <c r="AF11" s="144"/>
      <c r="AG11" s="143"/>
      <c r="AH11" s="143"/>
      <c r="AI11" s="143"/>
      <c r="AJ11" s="143"/>
      <c r="AK11" s="143"/>
      <c r="AL11" s="143"/>
      <c r="AM11" s="143"/>
      <c r="AN11" s="143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</row>
    <row r="12" spans="2:53">
      <c r="B12" s="153"/>
      <c r="C12" s="152"/>
      <c r="D12" s="156" t="s">
        <v>143</v>
      </c>
      <c r="E12" s="166">
        <v>42693</v>
      </c>
      <c r="F12" s="166"/>
      <c r="G12" s="166"/>
      <c r="H12" s="166"/>
      <c r="I12" s="166"/>
      <c r="J12" s="169"/>
      <c r="K12" s="166"/>
      <c r="L12" s="166"/>
      <c r="M12" s="166"/>
      <c r="N12" s="166"/>
      <c r="O12" s="166"/>
      <c r="P12" s="141"/>
      <c r="Q12" s="142"/>
      <c r="R12" s="166"/>
      <c r="S12" s="166"/>
      <c r="T12" s="166"/>
      <c r="U12" s="167"/>
      <c r="V12" s="141"/>
      <c r="W12" s="141"/>
      <c r="X12" s="141"/>
      <c r="Y12" s="167"/>
      <c r="Z12" s="167"/>
      <c r="AA12" s="167"/>
      <c r="AB12" s="141"/>
      <c r="AC12" s="166"/>
      <c r="AD12" s="141"/>
      <c r="AE12" s="141"/>
      <c r="AF12" s="142"/>
      <c r="AG12" s="141"/>
      <c r="AH12" s="141"/>
      <c r="AI12" s="141"/>
      <c r="AJ12" s="141"/>
      <c r="AK12" s="141"/>
      <c r="AL12" s="141"/>
      <c r="AM12" s="141"/>
      <c r="AN12" s="141"/>
      <c r="AO12" s="157"/>
      <c r="AP12" s="158"/>
      <c r="AQ12" s="158"/>
      <c r="AR12" s="158"/>
      <c r="AS12" s="158"/>
      <c r="AT12" s="158"/>
      <c r="AU12" s="158"/>
      <c r="AV12" s="158"/>
      <c r="AW12" s="158"/>
      <c r="AX12" s="158"/>
      <c r="AY12" s="158"/>
      <c r="AZ12" s="158"/>
      <c r="BA12" s="158"/>
    </row>
    <row r="13" spans="2:53">
      <c r="B13" s="153"/>
      <c r="C13" s="152"/>
      <c r="D13" s="156" t="s">
        <v>135</v>
      </c>
      <c r="E13" s="148"/>
      <c r="F13" s="148"/>
      <c r="G13" s="148"/>
      <c r="H13" s="148"/>
      <c r="I13" s="148"/>
      <c r="J13" s="170"/>
      <c r="K13" s="148"/>
      <c r="L13" s="148"/>
      <c r="M13" s="148"/>
      <c r="N13" s="148"/>
      <c r="O13" s="148"/>
      <c r="P13" s="143"/>
      <c r="Q13" s="144"/>
      <c r="R13" s="148"/>
      <c r="S13" s="148"/>
      <c r="T13" s="148"/>
      <c r="U13" s="145"/>
      <c r="V13" s="143"/>
      <c r="W13" s="143"/>
      <c r="X13" s="143"/>
      <c r="Y13" s="145"/>
      <c r="Z13" s="145"/>
      <c r="AA13" s="145"/>
      <c r="AB13" s="143"/>
      <c r="AC13" s="148"/>
      <c r="AD13" s="143"/>
      <c r="AE13" s="143"/>
      <c r="AF13" s="144"/>
      <c r="AG13" s="143"/>
      <c r="AH13" s="143"/>
      <c r="AI13" s="143"/>
      <c r="AJ13" s="143"/>
      <c r="AK13" s="143"/>
      <c r="AL13" s="143"/>
      <c r="AM13" s="143"/>
      <c r="AN13" s="143"/>
      <c r="AO13" s="158"/>
      <c r="AP13" s="158"/>
      <c r="AQ13" s="158"/>
      <c r="AR13" s="158"/>
      <c r="AS13" s="158"/>
      <c r="AT13" s="158"/>
      <c r="AU13" s="158"/>
      <c r="AV13" s="158"/>
      <c r="AW13" s="158"/>
      <c r="AX13" s="158"/>
      <c r="AY13" s="158"/>
      <c r="AZ13" s="158"/>
      <c r="BA13" s="158"/>
    </row>
    <row r="14" spans="2:53">
      <c r="B14" s="153"/>
      <c r="C14" s="152"/>
      <c r="D14" s="156" t="s">
        <v>133</v>
      </c>
      <c r="E14" s="148"/>
      <c r="F14" s="148"/>
      <c r="G14" s="148"/>
      <c r="H14" s="148"/>
      <c r="I14" s="148"/>
      <c r="J14" s="170"/>
      <c r="K14" s="148"/>
      <c r="L14" s="148"/>
      <c r="M14" s="148"/>
      <c r="N14" s="148"/>
      <c r="O14" s="148"/>
      <c r="P14" s="143"/>
      <c r="Q14" s="144"/>
      <c r="R14" s="148"/>
      <c r="S14" s="148"/>
      <c r="T14" s="148"/>
      <c r="U14" s="145"/>
      <c r="V14" s="143"/>
      <c r="W14" s="143"/>
      <c r="X14" s="143"/>
      <c r="Y14" s="145"/>
      <c r="Z14" s="145"/>
      <c r="AA14" s="145"/>
      <c r="AB14" s="143"/>
      <c r="AC14" s="148"/>
      <c r="AD14" s="143"/>
      <c r="AE14" s="143"/>
      <c r="AF14" s="144"/>
      <c r="AG14" s="143"/>
      <c r="AH14" s="143"/>
      <c r="AI14" s="143"/>
      <c r="AJ14" s="143"/>
      <c r="AK14" s="143"/>
      <c r="AL14" s="143"/>
      <c r="AM14" s="143"/>
      <c r="AN14" s="143"/>
      <c r="AO14" s="158"/>
      <c r="AP14" s="158"/>
      <c r="AQ14" s="158"/>
      <c r="AR14" s="158"/>
      <c r="AS14" s="158"/>
      <c r="AT14" s="158"/>
      <c r="AU14" s="158"/>
      <c r="AV14" s="158"/>
      <c r="AW14" s="158"/>
      <c r="AX14" s="158"/>
      <c r="AY14" s="158"/>
      <c r="AZ14" s="158"/>
      <c r="BA14" s="158"/>
    </row>
    <row r="15" spans="2:53">
      <c r="B15" s="152"/>
      <c r="C15" s="152"/>
      <c r="D15" s="156" t="s">
        <v>134</v>
      </c>
      <c r="E15" s="148"/>
      <c r="F15" s="148"/>
      <c r="G15" s="148"/>
      <c r="H15" s="148"/>
      <c r="I15" s="148"/>
      <c r="J15" s="170"/>
      <c r="K15" s="148"/>
      <c r="L15" s="148"/>
      <c r="M15" s="148"/>
      <c r="N15" s="148"/>
      <c r="O15" s="148"/>
      <c r="P15" s="143"/>
      <c r="Q15" s="144"/>
      <c r="R15" s="148"/>
      <c r="S15" s="148"/>
      <c r="T15" s="148"/>
      <c r="U15" s="145"/>
      <c r="V15" s="143"/>
      <c r="W15" s="143"/>
      <c r="X15" s="143"/>
      <c r="Y15" s="145"/>
      <c r="Z15" s="145"/>
      <c r="AA15" s="145"/>
      <c r="AB15" s="143"/>
      <c r="AC15" s="148"/>
      <c r="AD15" s="143"/>
      <c r="AE15" s="143"/>
      <c r="AF15" s="144"/>
      <c r="AG15" s="143"/>
      <c r="AH15" s="143"/>
      <c r="AI15" s="143"/>
      <c r="AJ15" s="143"/>
      <c r="AK15" s="143"/>
      <c r="AL15" s="143"/>
      <c r="AM15" s="143"/>
      <c r="AN15" s="143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</row>
    <row r="16" spans="2:53">
      <c r="B16" s="159" t="s">
        <v>283</v>
      </c>
      <c r="C16" s="160"/>
      <c r="D16" s="156" t="s">
        <v>141</v>
      </c>
      <c r="E16" s="148" t="s">
        <v>292</v>
      </c>
      <c r="F16" s="148"/>
      <c r="G16" s="148"/>
      <c r="H16" s="148"/>
      <c r="I16" s="148"/>
      <c r="J16" s="170"/>
      <c r="K16" s="148"/>
      <c r="L16" s="148"/>
      <c r="M16" s="148"/>
      <c r="N16" s="148"/>
      <c r="O16" s="148"/>
      <c r="P16" s="143"/>
      <c r="Q16" s="144"/>
      <c r="R16" s="148"/>
      <c r="S16" s="148"/>
      <c r="T16" s="148"/>
      <c r="U16" s="145"/>
      <c r="V16" s="143"/>
      <c r="W16" s="143"/>
      <c r="X16" s="143"/>
      <c r="Y16" s="145"/>
      <c r="Z16" s="145"/>
      <c r="AA16" s="145"/>
      <c r="AB16" s="143"/>
      <c r="AC16" s="148"/>
      <c r="AD16" s="143"/>
      <c r="AE16" s="143"/>
      <c r="AF16" s="144"/>
      <c r="AG16" s="143"/>
      <c r="AH16" s="143"/>
      <c r="AI16" s="143"/>
      <c r="AJ16" s="143"/>
      <c r="AK16" s="143"/>
      <c r="AL16" s="143"/>
      <c r="AM16" s="143"/>
      <c r="AN16" s="143"/>
      <c r="AO16" s="158"/>
      <c r="AP16" s="158"/>
      <c r="AQ16" s="158"/>
      <c r="AR16" s="158"/>
      <c r="AS16" s="158"/>
      <c r="AT16" s="158"/>
      <c r="AU16" s="158"/>
      <c r="AV16" s="158"/>
      <c r="AW16" s="158"/>
      <c r="AX16" s="158"/>
      <c r="AY16" s="158"/>
      <c r="AZ16" s="158"/>
      <c r="BA16" s="158"/>
    </row>
    <row r="17" spans="2:53">
      <c r="B17" s="161" t="s">
        <v>282</v>
      </c>
      <c r="C17" s="162"/>
      <c r="D17" s="156" t="s">
        <v>142</v>
      </c>
      <c r="E17" s="148">
        <v>2</v>
      </c>
      <c r="F17" s="148"/>
      <c r="G17" s="148"/>
      <c r="H17" s="148"/>
      <c r="I17" s="148"/>
      <c r="J17" s="170"/>
      <c r="K17" s="148"/>
      <c r="L17" s="148"/>
      <c r="M17" s="148"/>
      <c r="N17" s="148"/>
      <c r="O17" s="148"/>
      <c r="P17" s="143"/>
      <c r="Q17" s="144"/>
      <c r="R17" s="148"/>
      <c r="S17" s="148"/>
      <c r="T17" s="148"/>
      <c r="U17" s="145"/>
      <c r="V17" s="143"/>
      <c r="W17" s="143"/>
      <c r="X17" s="143"/>
      <c r="Y17" s="145"/>
      <c r="Z17" s="145"/>
      <c r="AA17" s="145"/>
      <c r="AB17" s="143"/>
      <c r="AC17" s="148"/>
      <c r="AD17" s="143"/>
      <c r="AE17" s="143"/>
      <c r="AF17" s="144"/>
      <c r="AG17" s="143"/>
      <c r="AH17" s="143"/>
      <c r="AI17" s="143"/>
      <c r="AJ17" s="143"/>
      <c r="AK17" s="143"/>
      <c r="AL17" s="143"/>
      <c r="AM17" s="143"/>
      <c r="AN17" s="143"/>
      <c r="AO17" s="158"/>
      <c r="AP17" s="158"/>
      <c r="AQ17" s="158"/>
      <c r="AR17" s="158"/>
      <c r="AS17" s="158"/>
      <c r="AT17" s="158"/>
      <c r="AU17" s="158"/>
      <c r="AV17" s="158"/>
      <c r="AW17" s="158"/>
      <c r="AX17" s="158"/>
      <c r="AY17" s="158"/>
      <c r="AZ17" s="158"/>
      <c r="BA17" s="158"/>
    </row>
    <row r="18" spans="2:53">
      <c r="B18" s="152"/>
      <c r="C18" s="152"/>
      <c r="D18" s="163" t="s">
        <v>0</v>
      </c>
      <c r="E18" s="148">
        <v>0</v>
      </c>
      <c r="F18" s="148"/>
      <c r="G18" s="148"/>
      <c r="H18" s="148"/>
      <c r="I18" s="148"/>
      <c r="J18" s="170"/>
      <c r="K18" s="148"/>
      <c r="L18" s="148"/>
      <c r="M18" s="148"/>
      <c r="N18" s="148"/>
      <c r="O18" s="148"/>
      <c r="P18" s="143"/>
      <c r="Q18" s="144"/>
      <c r="R18" s="148"/>
      <c r="S18" s="148"/>
      <c r="T18" s="148"/>
      <c r="U18" s="145"/>
      <c r="V18" s="143"/>
      <c r="W18" s="143"/>
      <c r="X18" s="143"/>
      <c r="Y18" s="145"/>
      <c r="Z18" s="145"/>
      <c r="AA18" s="145"/>
      <c r="AB18" s="143"/>
      <c r="AC18" s="148"/>
      <c r="AD18" s="143"/>
      <c r="AE18" s="143"/>
      <c r="AF18" s="144"/>
      <c r="AG18" s="143"/>
      <c r="AH18" s="143"/>
      <c r="AI18" s="143"/>
      <c r="AJ18" s="143"/>
      <c r="AK18" s="143"/>
      <c r="AL18" s="143"/>
      <c r="AM18" s="143"/>
      <c r="AN18" s="143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</row>
    <row r="19" spans="2:53">
      <c r="B19" s="152"/>
      <c r="C19" s="152"/>
      <c r="D19" s="163" t="s">
        <v>5</v>
      </c>
      <c r="E19" s="148">
        <v>0</v>
      </c>
      <c r="F19" s="148"/>
      <c r="G19" s="148"/>
      <c r="H19" s="148"/>
      <c r="I19" s="148"/>
      <c r="J19" s="170"/>
      <c r="K19" s="148"/>
      <c r="L19" s="148"/>
      <c r="M19" s="148"/>
      <c r="N19" s="148"/>
      <c r="O19" s="148"/>
      <c r="P19" s="143"/>
      <c r="Q19" s="144"/>
      <c r="R19" s="148"/>
      <c r="S19" s="148"/>
      <c r="T19" s="148"/>
      <c r="U19" s="145"/>
      <c r="V19" s="143"/>
      <c r="W19" s="143"/>
      <c r="X19" s="143"/>
      <c r="Y19" s="145"/>
      <c r="Z19" s="145"/>
      <c r="AA19" s="145"/>
      <c r="AB19" s="143"/>
      <c r="AC19" s="148"/>
      <c r="AD19" s="143"/>
      <c r="AE19" s="143"/>
      <c r="AF19" s="144"/>
      <c r="AG19" s="143"/>
      <c r="AH19" s="143"/>
      <c r="AI19" s="143"/>
      <c r="AJ19" s="143"/>
      <c r="AK19" s="143"/>
      <c r="AL19" s="143"/>
      <c r="AM19" s="143"/>
      <c r="AN19" s="143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</row>
    <row r="20" spans="2:53">
      <c r="B20" s="152"/>
      <c r="C20" s="152"/>
      <c r="D20" s="163" t="s">
        <v>6</v>
      </c>
      <c r="E20" s="148">
        <v>0</v>
      </c>
      <c r="F20" s="148"/>
      <c r="G20" s="148"/>
      <c r="H20" s="148"/>
      <c r="I20" s="148"/>
      <c r="J20" s="170"/>
      <c r="K20" s="148"/>
      <c r="L20" s="148"/>
      <c r="M20" s="148"/>
      <c r="N20" s="148"/>
      <c r="O20" s="148"/>
      <c r="P20" s="143"/>
      <c r="Q20" s="144"/>
      <c r="R20" s="148"/>
      <c r="S20" s="148"/>
      <c r="T20" s="148"/>
      <c r="U20" s="145"/>
      <c r="V20" s="143"/>
      <c r="W20" s="143"/>
      <c r="X20" s="143"/>
      <c r="Y20" s="145"/>
      <c r="Z20" s="145"/>
      <c r="AA20" s="145"/>
      <c r="AB20" s="143"/>
      <c r="AC20" s="148"/>
      <c r="AD20" s="143"/>
      <c r="AE20" s="143"/>
      <c r="AF20" s="144"/>
      <c r="AG20" s="143"/>
      <c r="AH20" s="143"/>
      <c r="AI20" s="143"/>
      <c r="AJ20" s="143"/>
      <c r="AK20" s="143"/>
      <c r="AL20" s="143"/>
      <c r="AM20" s="143"/>
      <c r="AN20" s="143"/>
      <c r="AO20" s="158"/>
      <c r="AP20" s="158"/>
      <c r="AQ20" s="158"/>
      <c r="AR20" s="158"/>
      <c r="AS20" s="158"/>
      <c r="AT20" s="158"/>
      <c r="AU20" s="158"/>
      <c r="AV20" s="158"/>
      <c r="AW20" s="158"/>
      <c r="AX20" s="158"/>
      <c r="AY20" s="158"/>
      <c r="AZ20" s="158"/>
      <c r="BA20" s="158"/>
    </row>
    <row r="21" spans="2:53">
      <c r="B21" s="152"/>
      <c r="C21" s="152"/>
      <c r="D21" s="163" t="s">
        <v>7</v>
      </c>
      <c r="E21" s="148">
        <v>0</v>
      </c>
      <c r="F21" s="148"/>
      <c r="G21" s="148"/>
      <c r="H21" s="148"/>
      <c r="I21" s="148"/>
      <c r="J21" s="170"/>
      <c r="K21" s="148"/>
      <c r="L21" s="148"/>
      <c r="M21" s="148"/>
      <c r="N21" s="148"/>
      <c r="O21" s="148"/>
      <c r="P21" s="143"/>
      <c r="Q21" s="144"/>
      <c r="R21" s="148"/>
      <c r="S21" s="148"/>
      <c r="T21" s="148"/>
      <c r="U21" s="145"/>
      <c r="V21" s="143"/>
      <c r="W21" s="143"/>
      <c r="X21" s="143"/>
      <c r="Y21" s="145"/>
      <c r="Z21" s="145"/>
      <c r="AA21" s="145"/>
      <c r="AB21" s="143"/>
      <c r="AC21" s="148"/>
      <c r="AD21" s="143"/>
      <c r="AE21" s="143"/>
      <c r="AF21" s="144"/>
      <c r="AG21" s="143"/>
      <c r="AH21" s="143"/>
      <c r="AI21" s="143"/>
      <c r="AJ21" s="143"/>
      <c r="AK21" s="143"/>
      <c r="AL21" s="143"/>
      <c r="AM21" s="143"/>
      <c r="AN21" s="143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</row>
    <row r="22" spans="2:53">
      <c r="B22" s="152"/>
      <c r="C22" s="152"/>
      <c r="D22" s="163" t="s">
        <v>8</v>
      </c>
      <c r="E22" s="148">
        <v>0</v>
      </c>
      <c r="F22" s="148"/>
      <c r="G22" s="148"/>
      <c r="H22" s="148"/>
      <c r="I22" s="148"/>
      <c r="J22" s="170"/>
      <c r="K22" s="148"/>
      <c r="L22" s="148"/>
      <c r="M22" s="148"/>
      <c r="N22" s="148"/>
      <c r="O22" s="148"/>
      <c r="P22" s="143"/>
      <c r="Q22" s="144"/>
      <c r="R22" s="148"/>
      <c r="S22" s="148"/>
      <c r="T22" s="148"/>
      <c r="U22" s="145"/>
      <c r="V22" s="143"/>
      <c r="W22" s="143"/>
      <c r="X22" s="143"/>
      <c r="Y22" s="145"/>
      <c r="Z22" s="145"/>
      <c r="AA22" s="145"/>
      <c r="AB22" s="143"/>
      <c r="AC22" s="148"/>
      <c r="AD22" s="143"/>
      <c r="AE22" s="143"/>
      <c r="AF22" s="144"/>
      <c r="AG22" s="143"/>
      <c r="AH22" s="143"/>
      <c r="AI22" s="143"/>
      <c r="AJ22" s="143"/>
      <c r="AK22" s="143"/>
      <c r="AL22" s="143"/>
      <c r="AM22" s="143"/>
      <c r="AN22" s="143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</row>
    <row r="23" spans="2:53">
      <c r="B23" s="152"/>
      <c r="C23" s="152"/>
      <c r="D23" s="163" t="s">
        <v>3</v>
      </c>
      <c r="E23" s="148">
        <v>0</v>
      </c>
      <c r="F23" s="148"/>
      <c r="G23" s="148"/>
      <c r="H23" s="148"/>
      <c r="I23" s="148"/>
      <c r="J23" s="170"/>
      <c r="K23" s="148"/>
      <c r="L23" s="148"/>
      <c r="M23" s="148"/>
      <c r="N23" s="148"/>
      <c r="O23" s="148"/>
      <c r="P23" s="143"/>
      <c r="Q23" s="144"/>
      <c r="R23" s="148"/>
      <c r="S23" s="148"/>
      <c r="T23" s="148"/>
      <c r="U23" s="145"/>
      <c r="V23" s="143"/>
      <c r="W23" s="143"/>
      <c r="X23" s="143"/>
      <c r="Y23" s="145"/>
      <c r="Z23" s="145"/>
      <c r="AA23" s="145"/>
      <c r="AB23" s="143"/>
      <c r="AC23" s="148"/>
      <c r="AD23" s="143"/>
      <c r="AE23" s="143"/>
      <c r="AF23" s="144"/>
      <c r="AG23" s="143"/>
      <c r="AH23" s="143"/>
      <c r="AI23" s="143"/>
      <c r="AJ23" s="143"/>
      <c r="AK23" s="143"/>
      <c r="AL23" s="143"/>
      <c r="AM23" s="143"/>
      <c r="AN23" s="143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</row>
    <row r="24" spans="2:53">
      <c r="B24" s="152"/>
      <c r="C24" s="152"/>
      <c r="D24" s="163" t="s">
        <v>9</v>
      </c>
      <c r="E24" s="148">
        <v>0</v>
      </c>
      <c r="F24" s="148"/>
      <c r="G24" s="148"/>
      <c r="H24" s="148"/>
      <c r="I24" s="148"/>
      <c r="J24" s="170"/>
      <c r="K24" s="148"/>
      <c r="L24" s="148"/>
      <c r="M24" s="148"/>
      <c r="N24" s="148"/>
      <c r="O24" s="148"/>
      <c r="P24" s="143"/>
      <c r="Q24" s="144"/>
      <c r="R24" s="148"/>
      <c r="S24" s="148"/>
      <c r="T24" s="148"/>
      <c r="U24" s="145"/>
      <c r="V24" s="143"/>
      <c r="W24" s="143"/>
      <c r="X24" s="143"/>
      <c r="Y24" s="145"/>
      <c r="Z24" s="145"/>
      <c r="AA24" s="145"/>
      <c r="AB24" s="143"/>
      <c r="AC24" s="148"/>
      <c r="AD24" s="143"/>
      <c r="AE24" s="143"/>
      <c r="AF24" s="144"/>
      <c r="AG24" s="143"/>
      <c r="AH24" s="143"/>
      <c r="AI24" s="143"/>
      <c r="AJ24" s="143"/>
      <c r="AK24" s="143"/>
      <c r="AL24" s="143"/>
      <c r="AM24" s="143"/>
      <c r="AN24" s="143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</row>
    <row r="25" spans="2:53">
      <c r="B25" s="152"/>
      <c r="C25" s="152"/>
      <c r="D25" s="163" t="s">
        <v>10</v>
      </c>
      <c r="E25" s="148">
        <v>0</v>
      </c>
      <c r="F25" s="148"/>
      <c r="G25" s="148"/>
      <c r="H25" s="148"/>
      <c r="I25" s="148"/>
      <c r="J25" s="170"/>
      <c r="K25" s="148"/>
      <c r="L25" s="148"/>
      <c r="M25" s="148"/>
      <c r="N25" s="148"/>
      <c r="O25" s="148"/>
      <c r="P25" s="143"/>
      <c r="Q25" s="144"/>
      <c r="R25" s="148"/>
      <c r="S25" s="148"/>
      <c r="T25" s="148"/>
      <c r="U25" s="145"/>
      <c r="V25" s="143"/>
      <c r="W25" s="143"/>
      <c r="X25" s="143"/>
      <c r="Y25" s="145"/>
      <c r="Z25" s="145"/>
      <c r="AA25" s="145"/>
      <c r="AB25" s="143"/>
      <c r="AC25" s="148"/>
      <c r="AD25" s="143"/>
      <c r="AE25" s="143"/>
      <c r="AF25" s="144"/>
      <c r="AG25" s="143"/>
      <c r="AH25" s="143"/>
      <c r="AI25" s="143"/>
      <c r="AJ25" s="143"/>
      <c r="AK25" s="143"/>
      <c r="AL25" s="143"/>
      <c r="AM25" s="143"/>
      <c r="AN25" s="143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</row>
    <row r="26" spans="2:53">
      <c r="B26" s="152"/>
      <c r="C26" s="152"/>
      <c r="D26" s="163" t="s">
        <v>11</v>
      </c>
      <c r="E26" s="148">
        <v>0</v>
      </c>
      <c r="F26" s="148"/>
      <c r="G26" s="148"/>
      <c r="H26" s="148"/>
      <c r="I26" s="148"/>
      <c r="J26" s="170"/>
      <c r="K26" s="148"/>
      <c r="L26" s="148"/>
      <c r="M26" s="148"/>
      <c r="N26" s="148"/>
      <c r="O26" s="148"/>
      <c r="P26" s="143"/>
      <c r="Q26" s="144"/>
      <c r="R26" s="148"/>
      <c r="S26" s="148"/>
      <c r="T26" s="148"/>
      <c r="U26" s="145"/>
      <c r="V26" s="143"/>
      <c r="W26" s="143"/>
      <c r="X26" s="143"/>
      <c r="Y26" s="145"/>
      <c r="Z26" s="145"/>
      <c r="AA26" s="145"/>
      <c r="AB26" s="143"/>
      <c r="AC26" s="148"/>
      <c r="AD26" s="143"/>
      <c r="AE26" s="143"/>
      <c r="AF26" s="144"/>
      <c r="AG26" s="143"/>
      <c r="AH26" s="143"/>
      <c r="AI26" s="143"/>
      <c r="AJ26" s="143"/>
      <c r="AK26" s="143"/>
      <c r="AL26" s="143"/>
      <c r="AM26" s="143"/>
      <c r="AN26" s="143"/>
      <c r="AO26" s="158"/>
      <c r="AP26" s="158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</row>
    <row r="27" spans="2:53">
      <c r="B27" s="152"/>
      <c r="C27" s="152"/>
      <c r="D27" s="163" t="s">
        <v>1</v>
      </c>
      <c r="E27" s="148">
        <v>0</v>
      </c>
      <c r="F27" s="148"/>
      <c r="G27" s="148"/>
      <c r="H27" s="148"/>
      <c r="I27" s="148"/>
      <c r="J27" s="170"/>
      <c r="K27" s="148"/>
      <c r="L27" s="148"/>
      <c r="M27" s="148"/>
      <c r="N27" s="148"/>
      <c r="O27" s="148"/>
      <c r="P27" s="143"/>
      <c r="Q27" s="144"/>
      <c r="R27" s="148"/>
      <c r="S27" s="148"/>
      <c r="T27" s="148"/>
      <c r="U27" s="145"/>
      <c r="V27" s="143"/>
      <c r="W27" s="143"/>
      <c r="X27" s="143"/>
      <c r="Y27" s="145"/>
      <c r="Z27" s="145"/>
      <c r="AA27" s="145"/>
      <c r="AB27" s="143"/>
      <c r="AC27" s="148"/>
      <c r="AD27" s="143"/>
      <c r="AE27" s="143"/>
      <c r="AF27" s="144"/>
      <c r="AG27" s="143"/>
      <c r="AH27" s="143"/>
      <c r="AI27" s="143"/>
      <c r="AJ27" s="143"/>
      <c r="AK27" s="143"/>
      <c r="AL27" s="143"/>
      <c r="AM27" s="143"/>
      <c r="AN27" s="143"/>
      <c r="AO27" s="158"/>
      <c r="AP27" s="158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</row>
    <row r="28" spans="2:53">
      <c r="B28" s="152"/>
      <c r="C28" s="152"/>
      <c r="D28" s="163" t="s">
        <v>12</v>
      </c>
      <c r="E28" s="148">
        <v>0</v>
      </c>
      <c r="F28" s="148"/>
      <c r="G28" s="148"/>
      <c r="H28" s="148"/>
      <c r="I28" s="148"/>
      <c r="J28" s="170"/>
      <c r="K28" s="148"/>
      <c r="L28" s="148"/>
      <c r="M28" s="148"/>
      <c r="N28" s="148"/>
      <c r="O28" s="148"/>
      <c r="P28" s="143"/>
      <c r="Q28" s="144"/>
      <c r="R28" s="148"/>
      <c r="S28" s="148"/>
      <c r="T28" s="148"/>
      <c r="U28" s="145"/>
      <c r="V28" s="143"/>
      <c r="W28" s="143"/>
      <c r="X28" s="143"/>
      <c r="Y28" s="145"/>
      <c r="Z28" s="145"/>
      <c r="AA28" s="145"/>
      <c r="AB28" s="143"/>
      <c r="AC28" s="148"/>
      <c r="AD28" s="143"/>
      <c r="AE28" s="143"/>
      <c r="AF28" s="144"/>
      <c r="AG28" s="143"/>
      <c r="AH28" s="143"/>
      <c r="AI28" s="143"/>
      <c r="AJ28" s="143"/>
      <c r="AK28" s="143"/>
      <c r="AL28" s="143"/>
      <c r="AM28" s="143"/>
      <c r="AN28" s="143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</row>
    <row r="29" spans="2:53">
      <c r="B29" s="152"/>
      <c r="C29" s="152"/>
      <c r="D29" s="163" t="s">
        <v>13</v>
      </c>
      <c r="E29" s="148">
        <v>0</v>
      </c>
      <c r="F29" s="148"/>
      <c r="G29" s="148"/>
      <c r="H29" s="148"/>
      <c r="I29" s="148"/>
      <c r="J29" s="170"/>
      <c r="K29" s="148"/>
      <c r="L29" s="148"/>
      <c r="M29" s="148"/>
      <c r="N29" s="148"/>
      <c r="O29" s="148"/>
      <c r="P29" s="143"/>
      <c r="Q29" s="144"/>
      <c r="R29" s="148"/>
      <c r="S29" s="148"/>
      <c r="T29" s="148"/>
      <c r="U29" s="145"/>
      <c r="V29" s="143"/>
      <c r="W29" s="143"/>
      <c r="X29" s="143"/>
      <c r="Y29" s="145"/>
      <c r="Z29" s="145"/>
      <c r="AA29" s="145"/>
      <c r="AB29" s="143"/>
      <c r="AC29" s="148"/>
      <c r="AD29" s="143"/>
      <c r="AE29" s="143"/>
      <c r="AF29" s="144"/>
      <c r="AG29" s="143"/>
      <c r="AH29" s="143"/>
      <c r="AI29" s="143"/>
      <c r="AJ29" s="143"/>
      <c r="AK29" s="143"/>
      <c r="AL29" s="143"/>
      <c r="AM29" s="143"/>
      <c r="AN29" s="143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</row>
    <row r="30" spans="2:53">
      <c r="B30" s="152"/>
      <c r="C30" s="152"/>
      <c r="D30" s="163" t="s">
        <v>14</v>
      </c>
      <c r="E30" s="148">
        <v>0</v>
      </c>
      <c r="F30" s="148"/>
      <c r="G30" s="148"/>
      <c r="H30" s="148"/>
      <c r="I30" s="148"/>
      <c r="J30" s="170"/>
      <c r="K30" s="148"/>
      <c r="L30" s="148"/>
      <c r="M30" s="148"/>
      <c r="N30" s="148"/>
      <c r="O30" s="148"/>
      <c r="P30" s="143"/>
      <c r="Q30" s="144"/>
      <c r="R30" s="148"/>
      <c r="S30" s="148"/>
      <c r="T30" s="148"/>
      <c r="U30" s="145"/>
      <c r="V30" s="143"/>
      <c r="W30" s="143"/>
      <c r="X30" s="143"/>
      <c r="Y30" s="145"/>
      <c r="Z30" s="145"/>
      <c r="AA30" s="145"/>
      <c r="AB30" s="143"/>
      <c r="AC30" s="148"/>
      <c r="AD30" s="143"/>
      <c r="AE30" s="143"/>
      <c r="AF30" s="144"/>
      <c r="AG30" s="143"/>
      <c r="AH30" s="143"/>
      <c r="AI30" s="143"/>
      <c r="AJ30" s="143"/>
      <c r="AK30" s="143"/>
      <c r="AL30" s="143"/>
      <c r="AM30" s="143"/>
      <c r="AN30" s="143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</row>
    <row r="31" spans="2:53">
      <c r="B31" s="152"/>
      <c r="C31" s="152"/>
      <c r="D31" s="163" t="s">
        <v>15</v>
      </c>
      <c r="E31" s="148">
        <v>0</v>
      </c>
      <c r="F31" s="148"/>
      <c r="G31" s="148"/>
      <c r="H31" s="148"/>
      <c r="I31" s="148"/>
      <c r="J31" s="170"/>
      <c r="K31" s="148"/>
      <c r="L31" s="148"/>
      <c r="M31" s="148"/>
      <c r="N31" s="148"/>
      <c r="O31" s="148"/>
      <c r="P31" s="143"/>
      <c r="Q31" s="144"/>
      <c r="R31" s="148"/>
      <c r="S31" s="148"/>
      <c r="T31" s="148"/>
      <c r="U31" s="145"/>
      <c r="V31" s="143"/>
      <c r="W31" s="143"/>
      <c r="X31" s="143"/>
      <c r="Y31" s="145"/>
      <c r="Z31" s="145"/>
      <c r="AA31" s="145"/>
      <c r="AB31" s="143"/>
      <c r="AC31" s="148"/>
      <c r="AD31" s="143"/>
      <c r="AE31" s="143"/>
      <c r="AF31" s="144"/>
      <c r="AG31" s="143"/>
      <c r="AH31" s="143"/>
      <c r="AI31" s="143"/>
      <c r="AJ31" s="143"/>
      <c r="AK31" s="143"/>
      <c r="AL31" s="143"/>
      <c r="AM31" s="143"/>
      <c r="AN31" s="143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</row>
    <row r="32" spans="2:53">
      <c r="B32" s="152"/>
      <c r="C32" s="152"/>
      <c r="D32" s="163" t="s">
        <v>16</v>
      </c>
      <c r="E32" s="148">
        <v>0</v>
      </c>
      <c r="F32" s="148"/>
      <c r="G32" s="148"/>
      <c r="H32" s="148"/>
      <c r="I32" s="148"/>
      <c r="J32" s="170"/>
      <c r="K32" s="148"/>
      <c r="L32" s="148"/>
      <c r="M32" s="148"/>
      <c r="N32" s="148"/>
      <c r="O32" s="148"/>
      <c r="P32" s="143"/>
      <c r="Q32" s="144"/>
      <c r="R32" s="148"/>
      <c r="S32" s="148"/>
      <c r="T32" s="148"/>
      <c r="U32" s="145"/>
      <c r="V32" s="143"/>
      <c r="W32" s="143"/>
      <c r="X32" s="143"/>
      <c r="Y32" s="145"/>
      <c r="Z32" s="145"/>
      <c r="AA32" s="145"/>
      <c r="AB32" s="143"/>
      <c r="AC32" s="148"/>
      <c r="AD32" s="143"/>
      <c r="AE32" s="143"/>
      <c r="AF32" s="144"/>
      <c r="AG32" s="143"/>
      <c r="AH32" s="143"/>
      <c r="AI32" s="143"/>
      <c r="AJ32" s="143"/>
      <c r="AK32" s="143"/>
      <c r="AL32" s="143"/>
      <c r="AM32" s="143"/>
      <c r="AN32" s="143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</row>
    <row r="33" spans="2:53">
      <c r="B33" s="152"/>
      <c r="C33" s="152"/>
      <c r="D33" s="163" t="s">
        <v>17</v>
      </c>
      <c r="E33" s="148">
        <v>0</v>
      </c>
      <c r="F33" s="148"/>
      <c r="G33" s="148"/>
      <c r="H33" s="148"/>
      <c r="I33" s="148"/>
      <c r="J33" s="170"/>
      <c r="K33" s="148"/>
      <c r="L33" s="148"/>
      <c r="M33" s="148"/>
      <c r="N33" s="148"/>
      <c r="O33" s="148"/>
      <c r="P33" s="143"/>
      <c r="Q33" s="144"/>
      <c r="R33" s="148"/>
      <c r="S33" s="148"/>
      <c r="T33" s="148"/>
      <c r="U33" s="145"/>
      <c r="V33" s="143"/>
      <c r="W33" s="143"/>
      <c r="X33" s="143"/>
      <c r="Y33" s="145"/>
      <c r="Z33" s="145"/>
      <c r="AA33" s="145"/>
      <c r="AB33" s="143"/>
      <c r="AC33" s="148"/>
      <c r="AD33" s="143"/>
      <c r="AE33" s="143"/>
      <c r="AF33" s="144"/>
      <c r="AG33" s="143"/>
      <c r="AH33" s="143"/>
      <c r="AI33" s="143"/>
      <c r="AJ33" s="143"/>
      <c r="AK33" s="143"/>
      <c r="AL33" s="143"/>
      <c r="AM33" s="143"/>
      <c r="AN33" s="143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</row>
    <row r="34" spans="2:53">
      <c r="B34" s="152"/>
      <c r="C34" s="152"/>
      <c r="D34" s="163" t="s">
        <v>18</v>
      </c>
      <c r="E34" s="148">
        <v>0</v>
      </c>
      <c r="F34" s="148"/>
      <c r="G34" s="148"/>
      <c r="H34" s="148"/>
      <c r="I34" s="148"/>
      <c r="J34" s="170"/>
      <c r="K34" s="148"/>
      <c r="L34" s="148"/>
      <c r="M34" s="148"/>
      <c r="N34" s="148"/>
      <c r="O34" s="148"/>
      <c r="P34" s="143"/>
      <c r="Q34" s="144"/>
      <c r="R34" s="148"/>
      <c r="S34" s="148"/>
      <c r="T34" s="148"/>
      <c r="U34" s="145"/>
      <c r="V34" s="143"/>
      <c r="W34" s="143"/>
      <c r="X34" s="143"/>
      <c r="Y34" s="145"/>
      <c r="Z34" s="145"/>
      <c r="AA34" s="145"/>
      <c r="AB34" s="143"/>
      <c r="AC34" s="148"/>
      <c r="AD34" s="143"/>
      <c r="AE34" s="143"/>
      <c r="AF34" s="144"/>
      <c r="AG34" s="143"/>
      <c r="AH34" s="143"/>
      <c r="AI34" s="143"/>
      <c r="AJ34" s="143"/>
      <c r="AK34" s="143"/>
      <c r="AL34" s="143"/>
      <c r="AM34" s="143"/>
      <c r="AN34" s="143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</row>
    <row r="35" spans="2:53">
      <c r="B35" s="152"/>
      <c r="C35" s="152"/>
      <c r="D35" s="163" t="s">
        <v>19</v>
      </c>
      <c r="E35" s="148">
        <v>0</v>
      </c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3"/>
      <c r="Q35" s="143"/>
      <c r="R35" s="148"/>
      <c r="S35" s="148"/>
      <c r="T35" s="148"/>
      <c r="U35" s="145"/>
      <c r="V35" s="143"/>
      <c r="W35" s="143"/>
      <c r="X35" s="143"/>
      <c r="Y35" s="145"/>
      <c r="Z35" s="145"/>
      <c r="AA35" s="145"/>
      <c r="AB35" s="143"/>
      <c r="AC35" s="148"/>
      <c r="AD35" s="143"/>
      <c r="AE35" s="143"/>
      <c r="AF35" s="144"/>
      <c r="AG35" s="143"/>
      <c r="AH35" s="143"/>
      <c r="AI35" s="143"/>
      <c r="AJ35" s="143"/>
      <c r="AK35" s="143"/>
      <c r="AL35" s="143"/>
      <c r="AM35" s="143"/>
      <c r="AN35" s="143"/>
      <c r="AO35" s="158"/>
      <c r="AP35" s="158"/>
      <c r="AQ35" s="158"/>
      <c r="AR35" s="158"/>
      <c r="AS35" s="158"/>
      <c r="AT35" s="158"/>
      <c r="AU35" s="158"/>
      <c r="AV35" s="158"/>
      <c r="AW35" s="158"/>
      <c r="AX35" s="158"/>
      <c r="AY35" s="158"/>
      <c r="AZ35" s="158"/>
      <c r="BA35" s="158"/>
    </row>
    <row r="36" spans="2:53">
      <c r="B36" s="152"/>
      <c r="C36" s="152"/>
      <c r="D36" s="163" t="s">
        <v>24</v>
      </c>
      <c r="E36" s="148">
        <v>0</v>
      </c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3"/>
      <c r="Q36" s="143"/>
      <c r="R36" s="148"/>
      <c r="S36" s="148"/>
      <c r="T36" s="148"/>
      <c r="U36" s="145"/>
      <c r="V36" s="143"/>
      <c r="W36" s="143"/>
      <c r="X36" s="143"/>
      <c r="Y36" s="145"/>
      <c r="Z36" s="145"/>
      <c r="AA36" s="145"/>
      <c r="AB36" s="143"/>
      <c r="AC36" s="148"/>
      <c r="AD36" s="143"/>
      <c r="AE36" s="143"/>
      <c r="AF36" s="144"/>
      <c r="AG36" s="143"/>
      <c r="AH36" s="143"/>
      <c r="AI36" s="143"/>
      <c r="AJ36" s="143"/>
      <c r="AK36" s="143"/>
      <c r="AL36" s="143"/>
      <c r="AM36" s="143"/>
      <c r="AN36" s="143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</row>
    <row r="37" spans="2:53">
      <c r="B37" s="152"/>
      <c r="C37" s="152"/>
      <c r="D37" s="163" t="s">
        <v>20</v>
      </c>
      <c r="E37" s="148">
        <v>0</v>
      </c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3"/>
      <c r="Q37" s="143"/>
      <c r="R37" s="148"/>
      <c r="S37" s="148"/>
      <c r="T37" s="148"/>
      <c r="U37" s="145"/>
      <c r="V37" s="143"/>
      <c r="W37" s="143"/>
      <c r="X37" s="143"/>
      <c r="Y37" s="145"/>
      <c r="Z37" s="145"/>
      <c r="AA37" s="145"/>
      <c r="AB37" s="143"/>
      <c r="AC37" s="148"/>
      <c r="AD37" s="143"/>
      <c r="AE37" s="143"/>
      <c r="AF37" s="144"/>
      <c r="AG37" s="143"/>
      <c r="AH37" s="143"/>
      <c r="AI37" s="143"/>
      <c r="AJ37" s="143"/>
      <c r="AK37" s="143"/>
      <c r="AL37" s="143"/>
      <c r="AM37" s="143"/>
      <c r="AN37" s="143"/>
      <c r="AO37" s="158"/>
      <c r="AP37" s="158"/>
      <c r="AQ37" s="158"/>
      <c r="AR37" s="158"/>
      <c r="AS37" s="158"/>
      <c r="AT37" s="158"/>
      <c r="AU37" s="158"/>
      <c r="AV37" s="158"/>
      <c r="AW37" s="158"/>
      <c r="AX37" s="158"/>
      <c r="AY37" s="158"/>
      <c r="AZ37" s="158"/>
      <c r="BA37" s="158"/>
    </row>
    <row r="38" spans="2:53">
      <c r="B38" s="152"/>
      <c r="C38" s="152"/>
      <c r="D38" s="163" t="s">
        <v>21</v>
      </c>
      <c r="E38" s="148">
        <v>0</v>
      </c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3"/>
      <c r="Q38" s="143"/>
      <c r="R38" s="148"/>
      <c r="S38" s="148"/>
      <c r="T38" s="148"/>
      <c r="U38" s="145"/>
      <c r="V38" s="143"/>
      <c r="W38" s="143"/>
      <c r="X38" s="143"/>
      <c r="Y38" s="145"/>
      <c r="Z38" s="145"/>
      <c r="AA38" s="145"/>
      <c r="AB38" s="143"/>
      <c r="AC38" s="148"/>
      <c r="AD38" s="143"/>
      <c r="AE38" s="143"/>
      <c r="AF38" s="144"/>
      <c r="AG38" s="143"/>
      <c r="AH38" s="143"/>
      <c r="AI38" s="143"/>
      <c r="AJ38" s="143"/>
      <c r="AK38" s="143"/>
      <c r="AL38" s="143"/>
      <c r="AM38" s="143"/>
      <c r="AN38" s="143"/>
      <c r="AO38" s="158"/>
      <c r="AP38" s="158"/>
      <c r="AQ38" s="158"/>
      <c r="AR38" s="158"/>
      <c r="AS38" s="158"/>
      <c r="AT38" s="158"/>
      <c r="AU38" s="158"/>
      <c r="AV38" s="158"/>
      <c r="AW38" s="158"/>
      <c r="AX38" s="158"/>
      <c r="AY38" s="158"/>
      <c r="AZ38" s="158"/>
      <c r="BA38" s="158"/>
    </row>
    <row r="39" spans="2:53">
      <c r="B39" s="152"/>
      <c r="C39" s="152"/>
      <c r="D39" s="163" t="s">
        <v>22</v>
      </c>
      <c r="E39" s="148">
        <v>0</v>
      </c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3"/>
      <c r="Q39" s="143"/>
      <c r="R39" s="148"/>
      <c r="S39" s="148"/>
      <c r="T39" s="148"/>
      <c r="U39" s="145"/>
      <c r="V39" s="143"/>
      <c r="W39" s="143"/>
      <c r="X39" s="143"/>
      <c r="Y39" s="145"/>
      <c r="Z39" s="145"/>
      <c r="AA39" s="145"/>
      <c r="AB39" s="143"/>
      <c r="AC39" s="148"/>
      <c r="AD39" s="143"/>
      <c r="AE39" s="143"/>
      <c r="AF39" s="144"/>
      <c r="AG39" s="143"/>
      <c r="AH39" s="143"/>
      <c r="AI39" s="143"/>
      <c r="AJ39" s="143"/>
      <c r="AK39" s="143"/>
      <c r="AL39" s="143"/>
      <c r="AM39" s="143"/>
      <c r="AN39" s="143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</row>
    <row r="40" spans="2:53">
      <c r="B40" s="152"/>
      <c r="C40" s="152"/>
      <c r="D40" s="156" t="s">
        <v>163</v>
      </c>
      <c r="E40" s="148">
        <v>0</v>
      </c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3"/>
      <c r="Q40" s="143"/>
      <c r="R40" s="148"/>
      <c r="S40" s="148"/>
      <c r="T40" s="148"/>
      <c r="U40" s="145"/>
      <c r="V40" s="143"/>
      <c r="W40" s="143"/>
      <c r="X40" s="143"/>
      <c r="Y40" s="145"/>
      <c r="Z40" s="145"/>
      <c r="AA40" s="145"/>
      <c r="AB40" s="143"/>
      <c r="AC40" s="148"/>
      <c r="AD40" s="143"/>
      <c r="AE40" s="143"/>
      <c r="AF40" s="145"/>
      <c r="AG40" s="143"/>
      <c r="AH40" s="143"/>
      <c r="AI40" s="143"/>
      <c r="AJ40" s="143"/>
      <c r="AK40" s="143"/>
      <c r="AL40" s="143"/>
      <c r="AM40" s="143"/>
      <c r="AN40" s="143"/>
      <c r="AO40" s="158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58"/>
    </row>
    <row r="41" spans="2:53">
      <c r="B41" s="152"/>
      <c r="C41" s="152"/>
      <c r="D41" s="156" t="s">
        <v>136</v>
      </c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3"/>
      <c r="Q41" s="143"/>
      <c r="R41" s="148"/>
      <c r="S41" s="148"/>
      <c r="T41" s="148"/>
      <c r="U41" s="145"/>
      <c r="V41" s="143"/>
      <c r="W41" s="143"/>
      <c r="X41" s="143"/>
      <c r="Y41" s="145"/>
      <c r="Z41" s="145"/>
      <c r="AA41" s="145"/>
      <c r="AB41" s="143"/>
      <c r="AC41" s="148"/>
      <c r="AD41" s="143"/>
      <c r="AE41" s="143"/>
      <c r="AF41" s="145"/>
      <c r="AG41" s="143"/>
      <c r="AH41" s="143"/>
      <c r="AI41" s="143"/>
      <c r="AJ41" s="143"/>
      <c r="AK41" s="143"/>
      <c r="AL41" s="143"/>
      <c r="AM41" s="143"/>
      <c r="AN41" s="143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</row>
    <row r="42" spans="2:53">
      <c r="B42" s="152"/>
      <c r="C42" s="152"/>
      <c r="D42" s="164" t="s">
        <v>137</v>
      </c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46"/>
      <c r="Q42" s="146"/>
      <c r="R42" s="168"/>
      <c r="S42" s="168"/>
      <c r="T42" s="168"/>
      <c r="U42" s="147"/>
      <c r="V42" s="146"/>
      <c r="W42" s="146"/>
      <c r="X42" s="146"/>
      <c r="Y42" s="147"/>
      <c r="Z42" s="145"/>
      <c r="AA42" s="145"/>
      <c r="AB42" s="143"/>
      <c r="AC42" s="148"/>
      <c r="AD42" s="143"/>
      <c r="AE42" s="143"/>
      <c r="AF42" s="145"/>
      <c r="AG42" s="143"/>
      <c r="AH42" s="143"/>
      <c r="AI42" s="143"/>
      <c r="AJ42" s="143"/>
      <c r="AK42" s="143"/>
      <c r="AL42" s="143"/>
      <c r="AM42" s="143"/>
      <c r="AN42" s="143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</row>
    <row r="43" spans="2:53">
      <c r="B43" s="152"/>
      <c r="C43" s="152"/>
      <c r="D43" s="156" t="s">
        <v>161</v>
      </c>
      <c r="E43" s="148" t="s">
        <v>291</v>
      </c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58"/>
      <c r="AP43" s="158"/>
      <c r="AQ43" s="158"/>
      <c r="AR43" s="158"/>
      <c r="AS43" s="158"/>
      <c r="AT43" s="158"/>
      <c r="AU43" s="158"/>
      <c r="AV43" s="158"/>
      <c r="AW43" s="158"/>
      <c r="AX43" s="158"/>
      <c r="AY43" s="158"/>
      <c r="AZ43" s="158"/>
      <c r="BA43" s="158"/>
    </row>
    <row r="44" spans="2:53">
      <c r="B44" s="152"/>
      <c r="C44" s="152"/>
      <c r="D44" s="165"/>
      <c r="E44" s="152"/>
      <c r="F44" s="152"/>
      <c r="G44" s="152"/>
      <c r="H44" s="152"/>
      <c r="I44" s="152"/>
      <c r="J44" s="152"/>
      <c r="K44" s="152"/>
      <c r="L44" s="152"/>
      <c r="M44" s="152"/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  <c r="AH44" s="152"/>
      <c r="AI44" s="152"/>
      <c r="AJ44" s="152"/>
      <c r="AK44" s="152"/>
      <c r="AL44" s="152"/>
      <c r="AM44" s="152"/>
      <c r="AN44" s="152"/>
      <c r="AO44" s="152"/>
      <c r="AP44" s="152"/>
      <c r="AQ44" s="152"/>
      <c r="AR44" s="152"/>
      <c r="AS44" s="152"/>
      <c r="AT44" s="152"/>
      <c r="AU44" s="152"/>
      <c r="AV44" s="152"/>
      <c r="AW44" s="152"/>
      <c r="AX44" s="152"/>
      <c r="AY44" s="152"/>
      <c r="AZ44" s="152"/>
      <c r="BA44" s="152"/>
    </row>
    <row r="45" spans="2:53">
      <c r="B45" s="152"/>
      <c r="C45" s="152"/>
      <c r="D45" s="165"/>
      <c r="E45" s="152"/>
      <c r="F45" s="152"/>
      <c r="G45" s="152"/>
      <c r="H45" s="152"/>
      <c r="I45" s="152"/>
      <c r="J45" s="152"/>
      <c r="K45" s="152"/>
      <c r="L45" s="152"/>
      <c r="M45" s="152"/>
      <c r="N45" s="152"/>
      <c r="O45" s="152"/>
      <c r="P45" s="152"/>
      <c r="Q45" s="152"/>
      <c r="R45" s="152"/>
      <c r="S45" s="152"/>
      <c r="T45" s="152"/>
      <c r="U45" s="152"/>
      <c r="V45" s="152"/>
      <c r="W45" s="152"/>
      <c r="X45" s="152"/>
      <c r="Y45" s="152"/>
      <c r="Z45" s="152"/>
      <c r="AA45" s="152"/>
      <c r="AB45" s="152"/>
      <c r="AC45" s="152"/>
      <c r="AD45" s="152"/>
      <c r="AE45" s="152"/>
      <c r="AF45" s="152"/>
      <c r="AG45" s="152"/>
      <c r="AH45" s="152"/>
      <c r="AI45" s="152"/>
      <c r="AJ45" s="152"/>
      <c r="AK45" s="152"/>
      <c r="AL45" s="152"/>
      <c r="AM45" s="152"/>
      <c r="AN45" s="152"/>
      <c r="AO45" s="152"/>
      <c r="AP45" s="152"/>
      <c r="AQ45" s="152"/>
      <c r="AR45" s="152"/>
      <c r="AS45" s="152"/>
      <c r="AT45" s="152"/>
      <c r="AU45" s="152"/>
      <c r="AV45" s="152"/>
      <c r="AW45" s="152"/>
      <c r="AX45" s="152"/>
      <c r="AY45" s="152"/>
      <c r="AZ45" s="152"/>
      <c r="BA45" s="152"/>
    </row>
  </sheetData>
  <sheetProtection sheet="1" objects="1" scenarios="1"/>
  <sortState columnSort="1" ref="E7:F43">
    <sortCondition ref="E7"/>
  </sortState>
  <conditionalFormatting sqref="F10:Z10">
    <cfRule type="containsText" dxfId="5" priority="1" operator="containsText" text="Frozen">
      <formula>NOT(ISERROR(SEARCH("Frozen",F10)))</formula>
    </cfRule>
    <cfRule type="containsText" dxfId="4" priority="2" operator="containsText" text="baked">
      <formula>NOT(ISERROR(SEARCH("baked",F10)))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remove_rightmost_column_master">
                <anchor moveWithCells="1" sizeWithCells="1">
                  <from>
                    <xdr:col>10</xdr:col>
                    <xdr:colOff>228600</xdr:colOff>
                    <xdr:row>0</xdr:row>
                    <xdr:rowOff>177800</xdr:rowOff>
                  </from>
                  <to>
                    <xdr:col>12</xdr:col>
                    <xdr:colOff>660400</xdr:colOff>
                    <xdr:row>5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emove_leftmost_column_master">
                <anchor moveWithCells="1" sizeWithCells="1">
                  <from>
                    <xdr:col>4</xdr:col>
                    <xdr:colOff>431800</xdr:colOff>
                    <xdr:row>0</xdr:row>
                    <xdr:rowOff>177800</xdr:rowOff>
                  </from>
                  <to>
                    <xdr:col>6</xdr:col>
                    <xdr:colOff>431800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sort_master_schedule">
                <anchor moveWithCells="1" sizeWithCells="1">
                  <from>
                    <xdr:col>7</xdr:col>
                    <xdr:colOff>63500</xdr:colOff>
                    <xdr:row>0</xdr:row>
                    <xdr:rowOff>127000</xdr:rowOff>
                  </from>
                  <to>
                    <xdr:col>9</xdr:col>
                    <xdr:colOff>12700</xdr:colOff>
                    <xdr:row>5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7:AR171"/>
  <sheetViews>
    <sheetView showRuler="0" topLeftCell="A2" workbookViewId="0">
      <selection activeCell="J11" sqref="J11"/>
    </sheetView>
  </sheetViews>
  <sheetFormatPr baseColWidth="10" defaultRowHeight="15" x14ac:dyDescent="0"/>
  <cols>
    <col min="2" max="2" width="23.1640625" customWidth="1"/>
    <col min="3" max="3" width="8.6640625" bestFit="1" customWidth="1"/>
    <col min="18" max="18" width="13.1640625" customWidth="1"/>
    <col min="28" max="28" width="24.83203125" customWidth="1"/>
    <col min="29" max="29" width="16.6640625" customWidth="1"/>
    <col min="30" max="30" width="24.33203125" customWidth="1"/>
    <col min="33" max="33" width="15.33203125" customWidth="1"/>
    <col min="34" max="34" width="21.5" customWidth="1"/>
    <col min="37" max="37" width="13.33203125" bestFit="1" customWidth="1"/>
    <col min="38" max="38" width="10.33203125" customWidth="1"/>
    <col min="39" max="39" width="17.6640625" customWidth="1"/>
  </cols>
  <sheetData>
    <row r="7" spans="2:44">
      <c r="R7" s="97" t="s">
        <v>281</v>
      </c>
      <c r="S7" s="57"/>
    </row>
    <row r="8" spans="2:44">
      <c r="R8" s="52" t="s">
        <v>150</v>
      </c>
      <c r="S8" s="41"/>
    </row>
    <row r="9" spans="2:44" ht="16">
      <c r="B9" s="74" t="s">
        <v>25</v>
      </c>
      <c r="C9" s="41"/>
      <c r="D9" s="73">
        <f t="array" aca="1" ref="D9:Y9" ca="1">TRANSPOSE(B66:B87)</f>
        <v>0</v>
      </c>
      <c r="E9" s="71">
        <f ca="1"/>
        <v>0</v>
      </c>
      <c r="F9" s="71">
        <f ca="1"/>
        <v>0</v>
      </c>
      <c r="G9" s="71">
        <f ca="1"/>
        <v>0</v>
      </c>
      <c r="H9" s="71">
        <f ca="1"/>
        <v>0</v>
      </c>
      <c r="I9" s="71">
        <f ca="1"/>
        <v>0</v>
      </c>
      <c r="J9" s="71">
        <f ca="1"/>
        <v>0</v>
      </c>
      <c r="K9" s="71">
        <f ca="1"/>
        <v>0</v>
      </c>
      <c r="L9" s="71">
        <f ca="1"/>
        <v>0</v>
      </c>
      <c r="M9" s="71">
        <f ca="1"/>
        <v>0</v>
      </c>
      <c r="N9" s="71">
        <f ca="1"/>
        <v>0</v>
      </c>
      <c r="O9" s="71">
        <f ca="1"/>
        <v>0</v>
      </c>
      <c r="P9" s="71">
        <f ca="1"/>
        <v>0</v>
      </c>
      <c r="Q9" s="71">
        <f ca="1"/>
        <v>0</v>
      </c>
      <c r="R9" s="96">
        <f ca="1"/>
        <v>0</v>
      </c>
      <c r="S9" s="96">
        <f ca="1"/>
        <v>0</v>
      </c>
      <c r="T9" s="71">
        <f ca="1"/>
        <v>0</v>
      </c>
      <c r="U9" s="71">
        <f ca="1"/>
        <v>0</v>
      </c>
      <c r="V9" s="71">
        <f ca="1"/>
        <v>0</v>
      </c>
      <c r="W9" s="71">
        <f ca="1"/>
        <v>0</v>
      </c>
      <c r="X9" s="71">
        <f ca="1"/>
        <v>0</v>
      </c>
      <c r="Y9" s="72">
        <f ca="1"/>
        <v>0</v>
      </c>
      <c r="AR9" s="29"/>
    </row>
    <row r="10" spans="2:44" ht="24" customHeight="1">
      <c r="B10" s="74" t="s">
        <v>26</v>
      </c>
      <c r="C10" s="75"/>
      <c r="D10" s="125">
        <v>140</v>
      </c>
      <c r="E10" s="104">
        <v>136</v>
      </c>
      <c r="F10" s="104">
        <v>128</v>
      </c>
      <c r="G10" s="104">
        <v>182</v>
      </c>
      <c r="H10" s="104">
        <v>126</v>
      </c>
      <c r="I10" s="104">
        <v>175</v>
      </c>
      <c r="J10" s="104">
        <v>148</v>
      </c>
      <c r="K10" s="104">
        <v>145</v>
      </c>
      <c r="L10" s="104">
        <v>153</v>
      </c>
      <c r="M10" s="104">
        <v>138</v>
      </c>
      <c r="N10" s="104">
        <v>145</v>
      </c>
      <c r="O10" s="104">
        <v>154</v>
      </c>
      <c r="P10" s="104">
        <v>154</v>
      </c>
      <c r="Q10" s="104">
        <v>213</v>
      </c>
      <c r="R10" s="126">
        <v>150</v>
      </c>
      <c r="S10" s="104">
        <v>143</v>
      </c>
      <c r="T10" s="104">
        <v>139</v>
      </c>
      <c r="U10" s="104">
        <v>130</v>
      </c>
      <c r="V10" s="104">
        <v>148</v>
      </c>
      <c r="W10" s="104">
        <v>152</v>
      </c>
      <c r="X10" s="104">
        <v>129</v>
      </c>
      <c r="Y10" s="104">
        <v>213</v>
      </c>
    </row>
    <row r="11" spans="2:44" ht="16">
      <c r="B11" s="85" t="s">
        <v>81</v>
      </c>
      <c r="C11" s="86"/>
      <c r="D11" s="87">
        <f t="shared" ref="D11:R11" ca="1" si="0">CEILING(D9/D10,1)</f>
        <v>0</v>
      </c>
      <c r="E11" s="88">
        <f t="shared" ca="1" si="0"/>
        <v>0</v>
      </c>
      <c r="F11" s="88">
        <f t="shared" ca="1" si="0"/>
        <v>0</v>
      </c>
      <c r="G11" s="88">
        <f t="shared" ca="1" si="0"/>
        <v>0</v>
      </c>
      <c r="H11" s="88">
        <f t="shared" ca="1" si="0"/>
        <v>0</v>
      </c>
      <c r="I11" s="88">
        <f t="shared" ca="1" si="0"/>
        <v>0</v>
      </c>
      <c r="J11" s="88">
        <f t="shared" ca="1" si="0"/>
        <v>0</v>
      </c>
      <c r="K11" s="88">
        <f t="shared" ca="1" si="0"/>
        <v>0</v>
      </c>
      <c r="L11" s="88">
        <f t="shared" ca="1" si="0"/>
        <v>0</v>
      </c>
      <c r="M11" s="88">
        <f t="shared" ca="1" si="0"/>
        <v>0</v>
      </c>
      <c r="N11" s="88">
        <f t="shared" ca="1" si="0"/>
        <v>0</v>
      </c>
      <c r="O11" s="88">
        <f t="shared" ca="1" si="0"/>
        <v>0</v>
      </c>
      <c r="P11" s="88">
        <f t="shared" ca="1" si="0"/>
        <v>0</v>
      </c>
      <c r="Q11" s="88">
        <f t="shared" ca="1" si="0"/>
        <v>0</v>
      </c>
      <c r="R11" s="88">
        <f t="shared" ca="1" si="0"/>
        <v>0</v>
      </c>
      <c r="S11" s="88">
        <f t="shared" ref="S11:Y11" ca="1" si="1">CEILING(R9/S10,1)</f>
        <v>0</v>
      </c>
      <c r="T11" s="88">
        <f t="shared" ca="1" si="1"/>
        <v>0</v>
      </c>
      <c r="U11" s="88">
        <f t="shared" ca="1" si="1"/>
        <v>0</v>
      </c>
      <c r="V11" s="88">
        <f t="shared" ca="1" si="1"/>
        <v>0</v>
      </c>
      <c r="W11" s="88">
        <f t="shared" ca="1" si="1"/>
        <v>0</v>
      </c>
      <c r="X11" s="88">
        <f t="shared" ca="1" si="1"/>
        <v>0</v>
      </c>
      <c r="Y11" s="88">
        <f t="shared" ca="1" si="1"/>
        <v>0</v>
      </c>
    </row>
    <row r="12" spans="2:44" ht="16">
      <c r="B12" s="89" t="s">
        <v>177</v>
      </c>
      <c r="C12" s="89" t="s">
        <v>70</v>
      </c>
      <c r="D12" s="49" t="s">
        <v>0</v>
      </c>
      <c r="E12" s="49" t="s">
        <v>5</v>
      </c>
      <c r="F12" s="49" t="s">
        <v>6</v>
      </c>
      <c r="G12" s="49" t="s">
        <v>7</v>
      </c>
      <c r="H12" s="49" t="s">
        <v>8</v>
      </c>
      <c r="I12" s="49" t="s">
        <v>3</v>
      </c>
      <c r="J12" s="49" t="s">
        <v>9</v>
      </c>
      <c r="K12" s="90" t="s">
        <v>10</v>
      </c>
      <c r="L12" s="90" t="s">
        <v>11</v>
      </c>
      <c r="M12" s="49" t="s">
        <v>1</v>
      </c>
      <c r="N12" s="49" t="s">
        <v>12</v>
      </c>
      <c r="O12" s="49" t="s">
        <v>13</v>
      </c>
      <c r="P12" s="49" t="s">
        <v>14</v>
      </c>
      <c r="Q12" s="49" t="s">
        <v>15</v>
      </c>
      <c r="R12" s="49" t="s">
        <v>16</v>
      </c>
      <c r="S12" s="91" t="s">
        <v>17</v>
      </c>
      <c r="T12" s="92" t="s">
        <v>18</v>
      </c>
      <c r="U12" s="92" t="s">
        <v>19</v>
      </c>
      <c r="V12" s="91" t="s">
        <v>24</v>
      </c>
      <c r="W12" s="91" t="s">
        <v>20</v>
      </c>
      <c r="X12" s="91" t="s">
        <v>21</v>
      </c>
      <c r="Y12" s="93" t="s">
        <v>22</v>
      </c>
    </row>
    <row r="13" spans="2:44">
      <c r="B13" s="81" t="s">
        <v>27</v>
      </c>
      <c r="C13" s="82" t="s">
        <v>109</v>
      </c>
      <c r="D13" s="102">
        <v>49.6</v>
      </c>
      <c r="E13" s="102">
        <v>46.4</v>
      </c>
      <c r="F13" s="102">
        <v>46.4</v>
      </c>
      <c r="G13" s="102">
        <v>60.8</v>
      </c>
      <c r="H13" s="102">
        <v>52.8</v>
      </c>
      <c r="I13" s="102">
        <v>57.6</v>
      </c>
      <c r="J13" s="102">
        <v>52.8</v>
      </c>
      <c r="K13" s="102">
        <v>32</v>
      </c>
      <c r="L13" s="102">
        <v>40</v>
      </c>
      <c r="M13" s="102">
        <v>32</v>
      </c>
      <c r="N13" s="102">
        <v>32</v>
      </c>
      <c r="O13" s="102">
        <v>48</v>
      </c>
      <c r="P13" s="102">
        <v>48</v>
      </c>
      <c r="Q13" s="102">
        <v>0</v>
      </c>
      <c r="R13" s="103">
        <v>46.62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AO13" s="24"/>
    </row>
    <row r="14" spans="2:44">
      <c r="B14" s="81" t="s">
        <v>28</v>
      </c>
      <c r="C14" s="82" t="s">
        <v>73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3">
        <v>0</v>
      </c>
      <c r="S14" s="102">
        <v>1</v>
      </c>
      <c r="T14" s="102">
        <v>1</v>
      </c>
      <c r="U14" s="102">
        <v>1</v>
      </c>
      <c r="V14" s="102">
        <v>1</v>
      </c>
      <c r="W14" s="102">
        <v>1</v>
      </c>
      <c r="X14" s="102">
        <v>0</v>
      </c>
      <c r="Y14" s="102">
        <v>0</v>
      </c>
    </row>
    <row r="15" spans="2:44">
      <c r="B15" s="81" t="s">
        <v>29</v>
      </c>
      <c r="C15" s="82" t="s">
        <v>109</v>
      </c>
      <c r="D15" s="102">
        <v>24</v>
      </c>
      <c r="E15" s="102">
        <v>24</v>
      </c>
      <c r="F15" s="102">
        <v>24</v>
      </c>
      <c r="G15" s="102">
        <v>40</v>
      </c>
      <c r="H15" s="102">
        <v>24</v>
      </c>
      <c r="I15" s="102">
        <v>24</v>
      </c>
      <c r="J15" s="102">
        <v>24</v>
      </c>
      <c r="K15" s="102">
        <v>24</v>
      </c>
      <c r="L15" s="102">
        <v>24</v>
      </c>
      <c r="M15" s="102">
        <v>24</v>
      </c>
      <c r="N15" s="102">
        <v>24</v>
      </c>
      <c r="O15" s="102">
        <v>24</v>
      </c>
      <c r="P15" s="102">
        <v>24</v>
      </c>
      <c r="Q15" s="102">
        <v>16</v>
      </c>
      <c r="R15" s="103">
        <v>24</v>
      </c>
      <c r="S15" s="102">
        <v>16</v>
      </c>
      <c r="T15" s="102">
        <v>16</v>
      </c>
      <c r="U15" s="102">
        <v>16</v>
      </c>
      <c r="V15" s="102">
        <v>16</v>
      </c>
      <c r="W15" s="102">
        <v>16</v>
      </c>
      <c r="X15" s="102">
        <v>24</v>
      </c>
      <c r="Y15" s="102">
        <v>16</v>
      </c>
    </row>
    <row r="16" spans="2:44" ht="16">
      <c r="B16" s="83" t="s">
        <v>30</v>
      </c>
      <c r="C16" s="82" t="s">
        <v>109</v>
      </c>
      <c r="D16" s="104">
        <v>0</v>
      </c>
      <c r="E16" s="104">
        <v>0</v>
      </c>
      <c r="F16" s="104">
        <v>0</v>
      </c>
      <c r="G16" s="104">
        <v>0</v>
      </c>
      <c r="H16" s="104">
        <v>0</v>
      </c>
      <c r="I16" s="104">
        <v>0</v>
      </c>
      <c r="J16" s="104">
        <v>0</v>
      </c>
      <c r="K16" s="104">
        <v>0</v>
      </c>
      <c r="L16" s="104">
        <v>0</v>
      </c>
      <c r="M16" s="104">
        <v>0</v>
      </c>
      <c r="N16" s="104">
        <v>0</v>
      </c>
      <c r="O16" s="104">
        <v>6.4</v>
      </c>
      <c r="P16" s="104">
        <v>6.4</v>
      </c>
      <c r="Q16" s="104">
        <v>0</v>
      </c>
      <c r="R16" s="103">
        <v>4.5</v>
      </c>
      <c r="S16" s="104">
        <v>0</v>
      </c>
      <c r="T16" s="104">
        <v>0</v>
      </c>
      <c r="U16" s="104">
        <v>0</v>
      </c>
      <c r="V16" s="104">
        <v>0</v>
      </c>
      <c r="W16" s="104">
        <v>6.4</v>
      </c>
      <c r="X16" s="104">
        <v>0</v>
      </c>
      <c r="Y16" s="104">
        <v>0</v>
      </c>
    </row>
    <row r="17" spans="2:35">
      <c r="B17" s="81" t="s">
        <v>57</v>
      </c>
      <c r="C17" s="81" t="s">
        <v>68</v>
      </c>
      <c r="D17" s="102">
        <v>3</v>
      </c>
      <c r="E17" s="102">
        <v>3</v>
      </c>
      <c r="F17" s="102">
        <v>3</v>
      </c>
      <c r="G17" s="102">
        <v>0</v>
      </c>
      <c r="H17" s="102">
        <v>3</v>
      </c>
      <c r="I17" s="102">
        <v>7.5</v>
      </c>
      <c r="J17" s="102">
        <v>3</v>
      </c>
      <c r="K17" s="102">
        <v>3</v>
      </c>
      <c r="L17" s="102">
        <v>3</v>
      </c>
      <c r="M17" s="102">
        <v>3</v>
      </c>
      <c r="N17" s="102">
        <v>3</v>
      </c>
      <c r="O17" s="102">
        <v>3</v>
      </c>
      <c r="P17" s="102">
        <v>3</v>
      </c>
      <c r="Q17" s="102">
        <v>8</v>
      </c>
      <c r="R17" s="103">
        <v>3</v>
      </c>
      <c r="S17" s="102">
        <v>2.5</v>
      </c>
      <c r="T17" s="102">
        <v>2.5</v>
      </c>
      <c r="U17" s="102">
        <v>2.5</v>
      </c>
      <c r="V17" s="102">
        <v>2.5</v>
      </c>
      <c r="W17" s="102">
        <v>2.5</v>
      </c>
      <c r="X17" s="102">
        <v>3</v>
      </c>
      <c r="Y17" s="102">
        <v>8</v>
      </c>
    </row>
    <row r="18" spans="2:35" ht="16">
      <c r="B18" s="81" t="s">
        <v>58</v>
      </c>
      <c r="C18" s="81" t="s">
        <v>68</v>
      </c>
      <c r="D18" s="102">
        <v>0</v>
      </c>
      <c r="E18" s="102">
        <v>0</v>
      </c>
      <c r="F18" s="102">
        <v>0</v>
      </c>
      <c r="G18" s="102">
        <v>2</v>
      </c>
      <c r="H18" s="102">
        <v>0</v>
      </c>
      <c r="I18" s="104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3">
        <v>0</v>
      </c>
      <c r="S18" s="102">
        <v>0.5</v>
      </c>
      <c r="T18" s="102">
        <v>0.5</v>
      </c>
      <c r="U18" s="102">
        <v>0.5</v>
      </c>
      <c r="V18" s="102">
        <v>0.5</v>
      </c>
      <c r="W18" s="102">
        <v>0.5</v>
      </c>
      <c r="X18" s="102">
        <v>0.5</v>
      </c>
      <c r="Y18" s="102">
        <v>0</v>
      </c>
    </row>
    <row r="19" spans="2:35">
      <c r="B19" s="81" t="s">
        <v>31</v>
      </c>
      <c r="C19" s="81" t="s">
        <v>68</v>
      </c>
      <c r="D19" s="102">
        <v>4</v>
      </c>
      <c r="E19" s="102">
        <v>4</v>
      </c>
      <c r="F19" s="102">
        <v>4</v>
      </c>
      <c r="G19" s="102">
        <v>4</v>
      </c>
      <c r="H19" s="102">
        <v>4</v>
      </c>
      <c r="I19" s="102">
        <v>5</v>
      </c>
      <c r="J19" s="102">
        <v>4</v>
      </c>
      <c r="K19" s="102">
        <v>4</v>
      </c>
      <c r="L19" s="102">
        <v>5</v>
      </c>
      <c r="M19" s="102">
        <v>4</v>
      </c>
      <c r="N19" s="102">
        <v>4</v>
      </c>
      <c r="O19" s="102">
        <v>4</v>
      </c>
      <c r="P19" s="102">
        <v>4</v>
      </c>
      <c r="Q19" s="102">
        <v>5</v>
      </c>
      <c r="R19" s="103">
        <v>4</v>
      </c>
      <c r="S19" s="102">
        <v>5</v>
      </c>
      <c r="T19" s="102">
        <v>5</v>
      </c>
      <c r="U19" s="102">
        <v>5</v>
      </c>
      <c r="V19" s="102">
        <v>5</v>
      </c>
      <c r="W19" s="102">
        <v>5</v>
      </c>
      <c r="X19" s="102">
        <v>4</v>
      </c>
      <c r="Y19" s="102">
        <v>5</v>
      </c>
    </row>
    <row r="20" spans="2:35" ht="16">
      <c r="B20" s="83" t="s">
        <v>32</v>
      </c>
      <c r="C20" s="81" t="s">
        <v>82</v>
      </c>
      <c r="D20" s="104">
        <v>4</v>
      </c>
      <c r="E20" s="104">
        <v>4</v>
      </c>
      <c r="F20" s="104">
        <v>4</v>
      </c>
      <c r="G20" s="104">
        <v>4</v>
      </c>
      <c r="H20" s="104">
        <v>4</v>
      </c>
      <c r="I20" s="104">
        <v>6</v>
      </c>
      <c r="J20" s="104">
        <v>2</v>
      </c>
      <c r="K20" s="104">
        <v>4</v>
      </c>
      <c r="L20" s="104">
        <v>4</v>
      </c>
      <c r="M20" s="104">
        <v>4</v>
      </c>
      <c r="N20" s="104">
        <v>4</v>
      </c>
      <c r="O20" s="104">
        <v>6</v>
      </c>
      <c r="P20" s="104">
        <v>6</v>
      </c>
      <c r="Q20" s="104">
        <v>10</v>
      </c>
      <c r="R20" s="103">
        <v>6</v>
      </c>
      <c r="S20" s="104">
        <v>4</v>
      </c>
      <c r="T20" s="104">
        <v>4</v>
      </c>
      <c r="U20" s="104">
        <v>4</v>
      </c>
      <c r="V20" s="104">
        <v>4</v>
      </c>
      <c r="W20" s="104">
        <v>6</v>
      </c>
      <c r="X20" s="104">
        <v>2</v>
      </c>
      <c r="Y20" s="104">
        <v>10</v>
      </c>
    </row>
    <row r="21" spans="2:35" ht="16">
      <c r="B21" s="83" t="s">
        <v>33</v>
      </c>
      <c r="C21" s="82" t="s">
        <v>109</v>
      </c>
      <c r="D21" s="104">
        <v>19.2</v>
      </c>
      <c r="E21" s="104">
        <v>19.2</v>
      </c>
      <c r="F21" s="104">
        <v>19.2</v>
      </c>
      <c r="G21" s="104">
        <v>0</v>
      </c>
      <c r="H21" s="104">
        <v>0</v>
      </c>
      <c r="I21" s="104">
        <v>28.8</v>
      </c>
      <c r="J21" s="104">
        <v>16</v>
      </c>
      <c r="K21" s="104">
        <v>19.2</v>
      </c>
      <c r="L21" s="104">
        <v>19.2</v>
      </c>
      <c r="M21" s="104">
        <v>19.2</v>
      </c>
      <c r="N21" s="104">
        <v>19.2</v>
      </c>
      <c r="O21" s="104">
        <v>22.4</v>
      </c>
      <c r="P21" s="104">
        <v>22.4</v>
      </c>
      <c r="Q21" s="104">
        <v>48</v>
      </c>
      <c r="R21" s="103">
        <v>21.68</v>
      </c>
      <c r="S21" s="104">
        <v>22.4</v>
      </c>
      <c r="T21" s="104">
        <v>22.4</v>
      </c>
      <c r="U21" s="104">
        <v>22.4</v>
      </c>
      <c r="V21" s="104">
        <v>22.4</v>
      </c>
      <c r="W21" s="104">
        <v>22.4</v>
      </c>
      <c r="X21" s="104">
        <v>12.8</v>
      </c>
      <c r="Y21" s="104">
        <v>48</v>
      </c>
    </row>
    <row r="22" spans="2:35" ht="16">
      <c r="B22" s="83" t="s">
        <v>34</v>
      </c>
      <c r="C22" s="82" t="s">
        <v>109</v>
      </c>
      <c r="D22" s="104">
        <v>19.2</v>
      </c>
      <c r="E22" s="104">
        <v>19.2</v>
      </c>
      <c r="F22" s="104">
        <v>19.2</v>
      </c>
      <c r="G22" s="104">
        <v>43.2</v>
      </c>
      <c r="H22" s="104">
        <v>32</v>
      </c>
      <c r="I22" s="104">
        <v>27.2</v>
      </c>
      <c r="J22" s="104">
        <v>16</v>
      </c>
      <c r="K22" s="104">
        <v>19.2</v>
      </c>
      <c r="L22" s="104">
        <v>19.2</v>
      </c>
      <c r="M22" s="104">
        <v>19.2</v>
      </c>
      <c r="N22" s="104">
        <v>19.2</v>
      </c>
      <c r="O22" s="104">
        <v>22.4</v>
      </c>
      <c r="P22" s="104">
        <v>22.4</v>
      </c>
      <c r="Q22" s="104">
        <v>0</v>
      </c>
      <c r="R22" s="103">
        <v>21.54</v>
      </c>
      <c r="S22" s="104">
        <v>19.2</v>
      </c>
      <c r="T22" s="104">
        <v>19.2</v>
      </c>
      <c r="U22" s="104">
        <v>19.2</v>
      </c>
      <c r="V22" s="104">
        <v>19.2</v>
      </c>
      <c r="W22" s="104">
        <v>22.4</v>
      </c>
      <c r="X22" s="104">
        <v>14.4</v>
      </c>
      <c r="Y22" s="104">
        <v>0</v>
      </c>
    </row>
    <row r="23" spans="2:35" ht="16">
      <c r="B23" s="83" t="s">
        <v>59</v>
      </c>
      <c r="C23" s="82" t="s">
        <v>110</v>
      </c>
      <c r="D23" s="104">
        <v>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  <c r="O23" s="104">
        <v>0</v>
      </c>
      <c r="P23" s="104">
        <v>0</v>
      </c>
      <c r="Q23" s="104">
        <v>0</v>
      </c>
      <c r="R23" s="103">
        <v>0</v>
      </c>
      <c r="S23" s="104">
        <v>8.33</v>
      </c>
      <c r="T23" s="104">
        <v>8.33</v>
      </c>
      <c r="U23" s="104">
        <v>8.33</v>
      </c>
      <c r="V23" s="104">
        <v>8.33</v>
      </c>
      <c r="W23" s="104">
        <v>8.33</v>
      </c>
      <c r="X23" s="104">
        <v>8.33</v>
      </c>
      <c r="Y23" s="104">
        <v>0</v>
      </c>
    </row>
    <row r="24" spans="2:35" ht="16">
      <c r="B24" s="83" t="s">
        <v>35</v>
      </c>
      <c r="C24" s="82" t="s">
        <v>73</v>
      </c>
      <c r="D24" s="104">
        <v>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  <c r="O24" s="104">
        <v>0</v>
      </c>
      <c r="P24" s="104">
        <v>0</v>
      </c>
      <c r="Q24" s="104">
        <v>0</v>
      </c>
      <c r="R24" s="103">
        <v>0</v>
      </c>
      <c r="S24" s="104">
        <v>0.55679999999999996</v>
      </c>
      <c r="T24" s="104">
        <v>0.55679999999999996</v>
      </c>
      <c r="U24" s="104">
        <v>0.55679999999999996</v>
      </c>
      <c r="V24" s="104">
        <v>0.55679999999999996</v>
      </c>
      <c r="W24" s="104">
        <v>0.55679999999999996</v>
      </c>
      <c r="X24" s="104">
        <v>0.55679999999999996</v>
      </c>
      <c r="Y24" s="104">
        <v>0</v>
      </c>
    </row>
    <row r="25" spans="2:35" ht="16">
      <c r="B25" s="83" t="s">
        <v>36</v>
      </c>
      <c r="C25" s="82" t="s">
        <v>73</v>
      </c>
      <c r="D25" s="104">
        <v>0</v>
      </c>
      <c r="E25" s="104">
        <v>0</v>
      </c>
      <c r="F25" s="104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104">
        <v>0</v>
      </c>
      <c r="M25" s="104">
        <v>0</v>
      </c>
      <c r="N25" s="104">
        <v>0</v>
      </c>
      <c r="O25" s="104">
        <v>0</v>
      </c>
      <c r="P25" s="104">
        <v>0</v>
      </c>
      <c r="Q25" s="104">
        <v>0</v>
      </c>
      <c r="R25" s="103">
        <v>0</v>
      </c>
      <c r="S25" s="104">
        <v>1.0920000000000001</v>
      </c>
      <c r="T25" s="104">
        <v>1.0920000000000001</v>
      </c>
      <c r="U25" s="104">
        <v>1.0920000000000001</v>
      </c>
      <c r="V25" s="104">
        <v>1.0920000000000001</v>
      </c>
      <c r="W25" s="104">
        <v>1.0920000000000001</v>
      </c>
      <c r="X25" s="104">
        <v>1.0920000000000001</v>
      </c>
      <c r="Y25" s="104">
        <v>0</v>
      </c>
    </row>
    <row r="26" spans="2:35" s="8" customFormat="1" ht="16">
      <c r="B26" s="83" t="s">
        <v>37</v>
      </c>
      <c r="C26" s="82" t="s">
        <v>109</v>
      </c>
      <c r="D26" s="105">
        <v>0</v>
      </c>
      <c r="E26" s="105">
        <v>0</v>
      </c>
      <c r="F26" s="105">
        <v>0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3">
        <v>0</v>
      </c>
      <c r="S26" s="104">
        <v>41.6</v>
      </c>
      <c r="T26" s="104">
        <v>41.6</v>
      </c>
      <c r="U26" s="104">
        <v>41.6</v>
      </c>
      <c r="V26" s="104">
        <v>41.6</v>
      </c>
      <c r="W26" s="104">
        <v>41.6</v>
      </c>
      <c r="X26" s="104">
        <v>48</v>
      </c>
      <c r="Y26" s="104">
        <v>0</v>
      </c>
      <c r="Z26"/>
      <c r="AA26"/>
      <c r="AB26"/>
      <c r="AC26"/>
      <c r="AD26"/>
      <c r="AI26"/>
    </row>
    <row r="27" spans="2:35" ht="16">
      <c r="B27" s="83" t="s">
        <v>38</v>
      </c>
      <c r="C27" s="81" t="s">
        <v>69</v>
      </c>
      <c r="D27" s="104">
        <v>0</v>
      </c>
      <c r="E27" s="104">
        <v>0</v>
      </c>
      <c r="F27" s="104">
        <v>0</v>
      </c>
      <c r="G27" s="104">
        <v>0</v>
      </c>
      <c r="H27" s="104">
        <v>0</v>
      </c>
      <c r="I27" s="104">
        <v>27</v>
      </c>
      <c r="J27" s="104">
        <v>0</v>
      </c>
      <c r="K27" s="104">
        <v>0</v>
      </c>
      <c r="L27" s="104">
        <v>0</v>
      </c>
      <c r="M27" s="104">
        <v>0</v>
      </c>
      <c r="N27" s="104">
        <v>0</v>
      </c>
      <c r="O27" s="104">
        <v>0</v>
      </c>
      <c r="P27" s="104">
        <v>0</v>
      </c>
      <c r="Q27" s="104">
        <v>53</v>
      </c>
      <c r="R27" s="103">
        <v>0</v>
      </c>
      <c r="S27" s="104">
        <v>0</v>
      </c>
      <c r="T27" s="104">
        <v>0</v>
      </c>
      <c r="U27" s="104">
        <v>0</v>
      </c>
      <c r="V27" s="104">
        <v>0</v>
      </c>
      <c r="W27" s="104">
        <v>0</v>
      </c>
      <c r="X27" s="104">
        <v>0</v>
      </c>
      <c r="Y27" s="104">
        <v>53</v>
      </c>
    </row>
    <row r="28" spans="2:35" ht="16">
      <c r="B28" s="83" t="s">
        <v>39</v>
      </c>
      <c r="C28" s="82" t="s">
        <v>109</v>
      </c>
      <c r="D28" s="104">
        <v>0</v>
      </c>
      <c r="E28" s="104">
        <v>0</v>
      </c>
      <c r="F28" s="104">
        <v>0</v>
      </c>
      <c r="G28" s="104">
        <v>0</v>
      </c>
      <c r="H28" s="104">
        <v>0</v>
      </c>
      <c r="I28" s="104">
        <v>0</v>
      </c>
      <c r="J28" s="104">
        <v>0</v>
      </c>
      <c r="K28" s="104">
        <v>22.4</v>
      </c>
      <c r="L28" s="104">
        <v>22.4</v>
      </c>
      <c r="M28" s="104">
        <v>22.4</v>
      </c>
      <c r="N28" s="104">
        <v>22.4</v>
      </c>
      <c r="O28" s="104">
        <v>0</v>
      </c>
      <c r="P28" s="104">
        <v>0</v>
      </c>
      <c r="Q28" s="104">
        <v>57.6</v>
      </c>
      <c r="R28" s="103">
        <v>0</v>
      </c>
      <c r="S28" s="104">
        <v>0</v>
      </c>
      <c r="T28" s="104">
        <v>0</v>
      </c>
      <c r="U28" s="104">
        <v>0</v>
      </c>
      <c r="V28" s="104">
        <v>0</v>
      </c>
      <c r="W28" s="104">
        <v>0</v>
      </c>
      <c r="X28" s="104">
        <v>0</v>
      </c>
      <c r="Y28" s="104">
        <v>57.6</v>
      </c>
    </row>
    <row r="29" spans="2:35" ht="16">
      <c r="B29" s="83" t="s">
        <v>40</v>
      </c>
      <c r="C29" s="82" t="s">
        <v>73</v>
      </c>
      <c r="D29" s="104">
        <v>0</v>
      </c>
      <c r="E29" s="104">
        <v>0</v>
      </c>
      <c r="F29" s="104">
        <v>0</v>
      </c>
      <c r="G29" s="104">
        <v>0</v>
      </c>
      <c r="H29" s="104">
        <v>0</v>
      </c>
      <c r="I29" s="104">
        <v>0</v>
      </c>
      <c r="J29" s="104">
        <v>2</v>
      </c>
      <c r="K29" s="104">
        <v>0</v>
      </c>
      <c r="L29" s="104">
        <v>0</v>
      </c>
      <c r="M29" s="104">
        <v>0</v>
      </c>
      <c r="N29" s="104">
        <v>0</v>
      </c>
      <c r="O29" s="104">
        <v>0</v>
      </c>
      <c r="P29" s="104">
        <v>0</v>
      </c>
      <c r="Q29" s="104">
        <v>0</v>
      </c>
      <c r="R29" s="103">
        <v>0</v>
      </c>
      <c r="S29" s="104">
        <v>0</v>
      </c>
      <c r="T29" s="104">
        <v>0</v>
      </c>
      <c r="U29" s="104">
        <v>0</v>
      </c>
      <c r="V29" s="104">
        <v>0</v>
      </c>
      <c r="W29" s="104">
        <v>0</v>
      </c>
      <c r="X29" s="104">
        <v>2</v>
      </c>
      <c r="Y29" s="104">
        <v>0</v>
      </c>
    </row>
    <row r="30" spans="2:35" ht="16">
      <c r="B30" s="83" t="s">
        <v>41</v>
      </c>
      <c r="C30" s="81" t="s">
        <v>68</v>
      </c>
      <c r="D30" s="104">
        <v>0</v>
      </c>
      <c r="E30" s="104">
        <v>0</v>
      </c>
      <c r="F30" s="104">
        <v>0</v>
      </c>
      <c r="G30" s="104">
        <v>0</v>
      </c>
      <c r="H30" s="104">
        <v>2</v>
      </c>
      <c r="I30" s="104">
        <v>0</v>
      </c>
      <c r="J30" s="104">
        <v>0</v>
      </c>
      <c r="K30" s="104">
        <v>0</v>
      </c>
      <c r="L30" s="104">
        <v>0</v>
      </c>
      <c r="M30" s="104">
        <v>0</v>
      </c>
      <c r="N30" s="104">
        <v>0</v>
      </c>
      <c r="O30" s="104">
        <v>0</v>
      </c>
      <c r="P30" s="104">
        <v>0</v>
      </c>
      <c r="Q30" s="104">
        <v>0</v>
      </c>
      <c r="R30" s="103">
        <v>0</v>
      </c>
      <c r="S30" s="104">
        <v>0</v>
      </c>
      <c r="T30" s="104">
        <v>0</v>
      </c>
      <c r="U30" s="104">
        <v>0</v>
      </c>
      <c r="V30" s="104">
        <v>0</v>
      </c>
      <c r="W30" s="104">
        <v>0</v>
      </c>
      <c r="X30" s="104">
        <v>0</v>
      </c>
      <c r="Y30" s="104">
        <v>0</v>
      </c>
    </row>
    <row r="31" spans="2:35" ht="16">
      <c r="B31" s="83" t="s">
        <v>42</v>
      </c>
      <c r="C31" s="81" t="s">
        <v>68</v>
      </c>
      <c r="D31" s="104">
        <v>0</v>
      </c>
      <c r="E31" s="104">
        <v>0</v>
      </c>
      <c r="F31" s="104">
        <v>0</v>
      </c>
      <c r="G31" s="104">
        <v>0</v>
      </c>
      <c r="H31" s="104">
        <v>6</v>
      </c>
      <c r="I31" s="104">
        <v>0</v>
      </c>
      <c r="J31" s="104">
        <v>2</v>
      </c>
      <c r="K31" s="104">
        <v>0</v>
      </c>
      <c r="L31" s="104">
        <v>0</v>
      </c>
      <c r="M31" s="104">
        <v>0</v>
      </c>
      <c r="N31" s="104">
        <v>0</v>
      </c>
      <c r="O31" s="104">
        <v>0</v>
      </c>
      <c r="P31" s="104">
        <v>0</v>
      </c>
      <c r="Q31" s="104">
        <v>0</v>
      </c>
      <c r="R31" s="103">
        <v>0</v>
      </c>
      <c r="S31" s="104">
        <v>0</v>
      </c>
      <c r="T31" s="104">
        <v>0</v>
      </c>
      <c r="U31" s="104">
        <v>0</v>
      </c>
      <c r="V31" s="104">
        <v>0</v>
      </c>
      <c r="W31" s="104">
        <v>0</v>
      </c>
      <c r="X31" s="104">
        <v>2</v>
      </c>
      <c r="Y31" s="104">
        <v>0</v>
      </c>
    </row>
    <row r="32" spans="2:35" ht="16">
      <c r="B32" s="83" t="s">
        <v>43</v>
      </c>
      <c r="C32" s="81" t="s">
        <v>68</v>
      </c>
      <c r="D32" s="104">
        <v>0</v>
      </c>
      <c r="E32" s="104">
        <v>0</v>
      </c>
      <c r="F32" s="104">
        <v>0</v>
      </c>
      <c r="G32" s="104">
        <v>0</v>
      </c>
      <c r="H32" s="104">
        <v>0</v>
      </c>
      <c r="I32" s="104">
        <v>0</v>
      </c>
      <c r="J32" s="104">
        <v>2</v>
      </c>
      <c r="K32" s="104">
        <v>0</v>
      </c>
      <c r="L32" s="104">
        <v>0</v>
      </c>
      <c r="M32" s="104">
        <v>0</v>
      </c>
      <c r="N32" s="104">
        <v>0</v>
      </c>
      <c r="O32" s="104">
        <v>0</v>
      </c>
      <c r="P32" s="104">
        <v>0</v>
      </c>
      <c r="Q32" s="104">
        <v>0</v>
      </c>
      <c r="R32" s="103">
        <v>0</v>
      </c>
      <c r="S32" s="104">
        <v>0</v>
      </c>
      <c r="T32" s="104">
        <v>0</v>
      </c>
      <c r="U32" s="104">
        <v>0</v>
      </c>
      <c r="V32" s="104">
        <v>0</v>
      </c>
      <c r="W32" s="104">
        <v>0</v>
      </c>
      <c r="X32" s="104">
        <v>2</v>
      </c>
      <c r="Y32" s="104">
        <v>0</v>
      </c>
    </row>
    <row r="33" spans="2:25" ht="18" customHeight="1">
      <c r="B33" s="83" t="s">
        <v>60</v>
      </c>
      <c r="C33" s="82" t="s">
        <v>73</v>
      </c>
      <c r="D33" s="104">
        <v>4.2720000000000002</v>
      </c>
      <c r="E33" s="104">
        <v>0</v>
      </c>
      <c r="F33" s="104">
        <v>0</v>
      </c>
      <c r="G33" s="104">
        <v>0</v>
      </c>
      <c r="H33" s="104">
        <v>0</v>
      </c>
      <c r="I33" s="104">
        <v>0</v>
      </c>
      <c r="J33" s="104">
        <v>0</v>
      </c>
      <c r="K33" s="104">
        <v>2.1360000000000001</v>
      </c>
      <c r="L33" s="104">
        <v>0</v>
      </c>
      <c r="M33" s="104">
        <v>0</v>
      </c>
      <c r="N33" s="104">
        <v>0</v>
      </c>
      <c r="O33" s="104">
        <v>4.2720000000000002</v>
      </c>
      <c r="P33" s="104">
        <v>0</v>
      </c>
      <c r="Q33" s="104">
        <v>2.1360000000000001</v>
      </c>
      <c r="R33" s="103">
        <v>0</v>
      </c>
      <c r="S33" s="104">
        <v>4.2720000000000002</v>
      </c>
      <c r="T33" s="104">
        <v>0</v>
      </c>
      <c r="U33" s="104">
        <v>0</v>
      </c>
      <c r="V33" s="104">
        <v>2.1360000000000001</v>
      </c>
      <c r="W33" s="104">
        <v>4.2720000000000002</v>
      </c>
      <c r="X33" s="104">
        <v>0</v>
      </c>
      <c r="Y33" s="104">
        <v>2.1360000000000001</v>
      </c>
    </row>
    <row r="34" spans="2:25" ht="16">
      <c r="B34" s="83" t="s">
        <v>44</v>
      </c>
      <c r="C34" s="82" t="s">
        <v>73</v>
      </c>
      <c r="D34" s="104">
        <v>0</v>
      </c>
      <c r="E34" s="104">
        <v>0</v>
      </c>
      <c r="F34" s="104">
        <v>0</v>
      </c>
      <c r="G34" s="104">
        <v>0</v>
      </c>
      <c r="H34" s="104">
        <v>0</v>
      </c>
      <c r="I34" s="104">
        <v>0</v>
      </c>
      <c r="J34" s="104">
        <v>0</v>
      </c>
      <c r="K34" s="104">
        <v>1.0680000000000001</v>
      </c>
      <c r="L34" s="104">
        <v>0</v>
      </c>
      <c r="M34" s="104">
        <v>0</v>
      </c>
      <c r="N34" s="104">
        <v>0</v>
      </c>
      <c r="O34" s="104">
        <v>0</v>
      </c>
      <c r="P34" s="104">
        <v>0</v>
      </c>
      <c r="Q34" s="104">
        <v>0</v>
      </c>
      <c r="R34" s="103">
        <v>0</v>
      </c>
      <c r="S34" s="104">
        <v>0</v>
      </c>
      <c r="T34" s="104">
        <v>0</v>
      </c>
      <c r="U34" s="104">
        <v>0</v>
      </c>
      <c r="V34" s="104">
        <v>1.0680000000000001</v>
      </c>
      <c r="W34" s="104">
        <v>0</v>
      </c>
      <c r="X34" s="104">
        <v>0</v>
      </c>
      <c r="Y34" s="104">
        <v>0</v>
      </c>
    </row>
    <row r="35" spans="2:25" ht="16">
      <c r="B35" s="83" t="s">
        <v>45</v>
      </c>
      <c r="C35" s="82" t="s">
        <v>73</v>
      </c>
      <c r="D35" s="104">
        <v>0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104">
        <v>4.2720000000000002</v>
      </c>
      <c r="O35" s="104">
        <v>0</v>
      </c>
      <c r="P35" s="104">
        <v>0</v>
      </c>
      <c r="Q35" s="104">
        <v>0</v>
      </c>
      <c r="R35" s="103">
        <v>0</v>
      </c>
      <c r="S35" s="104">
        <v>0</v>
      </c>
      <c r="T35" s="104">
        <v>0</v>
      </c>
      <c r="U35" s="104">
        <v>0</v>
      </c>
      <c r="V35" s="104">
        <v>0</v>
      </c>
      <c r="W35" s="104">
        <v>0</v>
      </c>
      <c r="X35" s="104">
        <v>0</v>
      </c>
      <c r="Y35" s="104">
        <v>0</v>
      </c>
    </row>
    <row r="36" spans="2:25" ht="16">
      <c r="B36" s="83" t="s">
        <v>46</v>
      </c>
      <c r="C36" s="82" t="s">
        <v>73</v>
      </c>
      <c r="D36" s="104">
        <v>0</v>
      </c>
      <c r="E36" s="104">
        <v>0</v>
      </c>
      <c r="F36" s="104">
        <v>0</v>
      </c>
      <c r="G36" s="104">
        <v>0</v>
      </c>
      <c r="H36" s="104">
        <v>0</v>
      </c>
      <c r="I36" s="104">
        <v>0</v>
      </c>
      <c r="J36" s="104">
        <v>0</v>
      </c>
      <c r="K36" s="104">
        <v>1.0680000000000001</v>
      </c>
      <c r="L36" s="104">
        <v>0</v>
      </c>
      <c r="M36" s="104">
        <v>0</v>
      </c>
      <c r="N36" s="104">
        <v>0</v>
      </c>
      <c r="O36" s="104">
        <v>0</v>
      </c>
      <c r="P36" s="104">
        <v>0</v>
      </c>
      <c r="Q36" s="104">
        <v>0</v>
      </c>
      <c r="R36" s="103">
        <v>0</v>
      </c>
      <c r="S36" s="104">
        <v>0</v>
      </c>
      <c r="T36" s="104">
        <v>0</v>
      </c>
      <c r="U36" s="104">
        <v>0</v>
      </c>
      <c r="V36" s="104">
        <v>1.0680000000000001</v>
      </c>
      <c r="W36" s="104">
        <v>0</v>
      </c>
      <c r="X36" s="104">
        <v>0</v>
      </c>
      <c r="Y36" s="104">
        <v>0</v>
      </c>
    </row>
    <row r="37" spans="2:25" ht="16">
      <c r="B37" s="83" t="s">
        <v>47</v>
      </c>
      <c r="C37" s="82" t="s">
        <v>73</v>
      </c>
      <c r="D37" s="104">
        <v>0</v>
      </c>
      <c r="E37" s="104">
        <v>0</v>
      </c>
      <c r="F37" s="104">
        <v>0</v>
      </c>
      <c r="G37" s="104">
        <v>0</v>
      </c>
      <c r="H37" s="104">
        <v>0</v>
      </c>
      <c r="I37" s="104">
        <v>0</v>
      </c>
      <c r="J37" s="104">
        <v>0</v>
      </c>
      <c r="K37" s="104">
        <v>0</v>
      </c>
      <c r="L37" s="104">
        <v>0</v>
      </c>
      <c r="M37" s="104">
        <v>0</v>
      </c>
      <c r="N37" s="104">
        <v>0</v>
      </c>
      <c r="O37" s="104">
        <v>0</v>
      </c>
      <c r="P37" s="104">
        <v>4.2720000000000002</v>
      </c>
      <c r="Q37" s="104">
        <v>0</v>
      </c>
      <c r="R37" s="103">
        <v>0</v>
      </c>
      <c r="S37" s="104">
        <v>0</v>
      </c>
      <c r="T37" s="104">
        <v>0</v>
      </c>
      <c r="U37" s="104">
        <v>0</v>
      </c>
      <c r="V37" s="104">
        <v>0</v>
      </c>
      <c r="W37" s="104">
        <v>0</v>
      </c>
      <c r="X37" s="104">
        <v>0</v>
      </c>
      <c r="Y37" s="104">
        <v>0</v>
      </c>
    </row>
    <row r="38" spans="2:25" ht="16">
      <c r="B38" s="83" t="s">
        <v>48</v>
      </c>
      <c r="C38" s="82" t="s">
        <v>73</v>
      </c>
      <c r="D38" s="104">
        <v>0</v>
      </c>
      <c r="E38" s="104">
        <v>2.1360000000000001</v>
      </c>
      <c r="F38" s="104">
        <v>0</v>
      </c>
      <c r="G38" s="104">
        <v>0</v>
      </c>
      <c r="H38" s="104">
        <v>0</v>
      </c>
      <c r="I38" s="104">
        <v>0</v>
      </c>
      <c r="J38" s="104">
        <v>0</v>
      </c>
      <c r="K38" s="104">
        <v>0</v>
      </c>
      <c r="L38" s="104">
        <v>0</v>
      </c>
      <c r="M38" s="104">
        <v>0</v>
      </c>
      <c r="N38" s="104">
        <v>0</v>
      </c>
      <c r="O38" s="104">
        <v>0</v>
      </c>
      <c r="P38" s="104">
        <v>0</v>
      </c>
      <c r="Q38" s="104">
        <v>0</v>
      </c>
      <c r="R38" s="103">
        <v>0</v>
      </c>
      <c r="S38" s="104">
        <v>0</v>
      </c>
      <c r="T38" s="104">
        <v>2.1360000000000001</v>
      </c>
      <c r="U38" s="104">
        <v>0</v>
      </c>
      <c r="V38" s="104">
        <v>0</v>
      </c>
      <c r="W38" s="104">
        <v>0</v>
      </c>
      <c r="X38" s="104">
        <v>0</v>
      </c>
      <c r="Y38" s="104">
        <v>0</v>
      </c>
    </row>
    <row r="39" spans="2:25">
      <c r="B39" s="81" t="s">
        <v>49</v>
      </c>
      <c r="C39" s="82" t="s">
        <v>73</v>
      </c>
      <c r="D39" s="102">
        <v>0</v>
      </c>
      <c r="E39" s="102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2.0609999999999999</v>
      </c>
      <c r="M39" s="102">
        <v>0</v>
      </c>
      <c r="N39" s="102">
        <v>0</v>
      </c>
      <c r="O39" s="102">
        <v>0</v>
      </c>
      <c r="P39" s="102">
        <v>0</v>
      </c>
      <c r="Q39" s="102">
        <v>0</v>
      </c>
      <c r="R39" s="103">
        <v>0</v>
      </c>
      <c r="S39" s="102">
        <v>0</v>
      </c>
      <c r="T39" s="102">
        <v>0</v>
      </c>
      <c r="U39" s="102">
        <v>0</v>
      </c>
      <c r="V39" s="102">
        <v>0</v>
      </c>
      <c r="W39" s="102">
        <v>0</v>
      </c>
      <c r="X39" s="102">
        <v>0</v>
      </c>
      <c r="Y39" s="102">
        <v>0</v>
      </c>
    </row>
    <row r="40" spans="2:25" ht="16">
      <c r="B40" s="83" t="s">
        <v>61</v>
      </c>
      <c r="C40" s="82" t="s">
        <v>73</v>
      </c>
      <c r="D40" s="104">
        <v>0</v>
      </c>
      <c r="E40" s="104">
        <v>2.3729999999999998</v>
      </c>
      <c r="F40" s="104">
        <v>0</v>
      </c>
      <c r="G40" s="104">
        <v>0</v>
      </c>
      <c r="H40" s="104">
        <v>0</v>
      </c>
      <c r="I40" s="104">
        <v>0</v>
      </c>
      <c r="J40" s="104">
        <v>0</v>
      </c>
      <c r="K40" s="104">
        <v>0</v>
      </c>
      <c r="L40" s="104">
        <v>0</v>
      </c>
      <c r="M40" s="104">
        <v>0</v>
      </c>
      <c r="N40" s="104">
        <v>0</v>
      </c>
      <c r="O40" s="104">
        <v>0</v>
      </c>
      <c r="P40" s="104">
        <v>0</v>
      </c>
      <c r="Q40" s="104">
        <v>1.6950000000000001</v>
      </c>
      <c r="R40" s="103">
        <v>0</v>
      </c>
      <c r="S40" s="104">
        <v>0</v>
      </c>
      <c r="T40" s="104">
        <v>2.7120000000000002</v>
      </c>
      <c r="U40" s="104">
        <v>0</v>
      </c>
      <c r="V40" s="104">
        <v>0</v>
      </c>
      <c r="W40" s="104">
        <v>0</v>
      </c>
      <c r="X40" s="104">
        <v>0</v>
      </c>
      <c r="Y40" s="104">
        <v>1.6950000000000001</v>
      </c>
    </row>
    <row r="41" spans="2:25" ht="16">
      <c r="B41" s="83" t="s">
        <v>62</v>
      </c>
      <c r="C41" s="82" t="s">
        <v>73</v>
      </c>
      <c r="D41" s="104">
        <v>0</v>
      </c>
      <c r="E41" s="104">
        <v>0</v>
      </c>
      <c r="F41" s="104">
        <v>0</v>
      </c>
      <c r="G41" s="104">
        <v>0</v>
      </c>
      <c r="H41" s="104">
        <v>0</v>
      </c>
      <c r="I41" s="104">
        <v>0</v>
      </c>
      <c r="J41" s="104">
        <v>0</v>
      </c>
      <c r="K41" s="104">
        <v>0</v>
      </c>
      <c r="L41" s="104">
        <v>0</v>
      </c>
      <c r="M41" s="104">
        <v>3.84</v>
      </c>
      <c r="N41" s="104">
        <v>0</v>
      </c>
      <c r="O41" s="104">
        <v>0</v>
      </c>
      <c r="P41" s="104">
        <v>0</v>
      </c>
      <c r="Q41" s="104">
        <v>0</v>
      </c>
      <c r="R41" s="103">
        <v>0</v>
      </c>
      <c r="S41" s="104">
        <v>0</v>
      </c>
      <c r="T41" s="104">
        <v>0</v>
      </c>
      <c r="U41" s="104">
        <v>0</v>
      </c>
      <c r="V41" s="104">
        <v>0</v>
      </c>
      <c r="W41" s="104">
        <v>0</v>
      </c>
      <c r="X41" s="104">
        <v>0</v>
      </c>
      <c r="Y41" s="104">
        <v>0</v>
      </c>
    </row>
    <row r="42" spans="2:25" ht="16">
      <c r="B42" s="83" t="s">
        <v>50</v>
      </c>
      <c r="C42" s="82" t="s">
        <v>73</v>
      </c>
      <c r="D42" s="104">
        <v>0</v>
      </c>
      <c r="E42" s="104">
        <v>0</v>
      </c>
      <c r="F42" s="104">
        <v>3</v>
      </c>
      <c r="G42" s="104">
        <v>0</v>
      </c>
      <c r="H42" s="104">
        <v>0</v>
      </c>
      <c r="I42" s="104">
        <v>0</v>
      </c>
      <c r="J42" s="104">
        <v>0</v>
      </c>
      <c r="K42" s="104">
        <v>0</v>
      </c>
      <c r="L42" s="104">
        <v>0</v>
      </c>
      <c r="M42" s="104">
        <v>0</v>
      </c>
      <c r="N42" s="104">
        <v>0</v>
      </c>
      <c r="O42" s="104">
        <v>0</v>
      </c>
      <c r="P42" s="104">
        <v>0</v>
      </c>
      <c r="Q42" s="104">
        <v>0.15</v>
      </c>
      <c r="R42" s="103">
        <v>0</v>
      </c>
      <c r="S42" s="104">
        <v>0</v>
      </c>
      <c r="T42" s="104">
        <v>0</v>
      </c>
      <c r="U42" s="104">
        <v>3</v>
      </c>
      <c r="V42" s="104">
        <v>0</v>
      </c>
      <c r="W42" s="104">
        <v>0</v>
      </c>
      <c r="X42" s="104">
        <v>0</v>
      </c>
      <c r="Y42" s="104">
        <v>0.15</v>
      </c>
    </row>
    <row r="43" spans="2:25" ht="16">
      <c r="B43" s="83" t="s">
        <v>51</v>
      </c>
      <c r="C43" s="82" t="s">
        <v>73</v>
      </c>
      <c r="D43" s="104">
        <v>0</v>
      </c>
      <c r="E43" s="104">
        <v>0</v>
      </c>
      <c r="F43" s="104">
        <v>1.008</v>
      </c>
      <c r="G43" s="104">
        <v>0</v>
      </c>
      <c r="H43" s="104">
        <v>0</v>
      </c>
      <c r="I43" s="104">
        <v>0</v>
      </c>
      <c r="J43" s="104">
        <v>0</v>
      </c>
      <c r="K43" s="104">
        <v>0</v>
      </c>
      <c r="L43" s="104">
        <v>0</v>
      </c>
      <c r="M43" s="104">
        <v>0</v>
      </c>
      <c r="N43" s="104">
        <v>0</v>
      </c>
      <c r="O43" s="104">
        <v>0</v>
      </c>
      <c r="P43" s="104">
        <v>0</v>
      </c>
      <c r="Q43" s="104">
        <v>0</v>
      </c>
      <c r="R43" s="103">
        <v>0</v>
      </c>
      <c r="S43" s="104">
        <v>0</v>
      </c>
      <c r="T43" s="104">
        <v>0</v>
      </c>
      <c r="U43" s="104">
        <v>1.008</v>
      </c>
      <c r="V43" s="104">
        <v>0</v>
      </c>
      <c r="W43" s="104">
        <v>0</v>
      </c>
      <c r="X43" s="104">
        <v>0</v>
      </c>
      <c r="Y43" s="104">
        <v>0</v>
      </c>
    </row>
    <row r="44" spans="2:25">
      <c r="B44" s="81" t="s">
        <v>52</v>
      </c>
      <c r="C44" s="81" t="s">
        <v>68</v>
      </c>
      <c r="D44" s="102">
        <v>4</v>
      </c>
      <c r="E44" s="102">
        <v>4</v>
      </c>
      <c r="F44" s="102">
        <v>0</v>
      </c>
      <c r="G44" s="102">
        <v>5</v>
      </c>
      <c r="H44" s="102">
        <v>2</v>
      </c>
      <c r="I44" s="102">
        <v>0</v>
      </c>
      <c r="J44" s="102">
        <v>0</v>
      </c>
      <c r="K44" s="102">
        <v>4</v>
      </c>
      <c r="L44" s="102">
        <v>4</v>
      </c>
      <c r="M44" s="102">
        <v>4</v>
      </c>
      <c r="N44" s="102">
        <v>4</v>
      </c>
      <c r="O44" s="102">
        <v>6</v>
      </c>
      <c r="P44" s="102">
        <v>6</v>
      </c>
      <c r="Q44" s="102">
        <v>2</v>
      </c>
      <c r="R44" s="103">
        <v>6</v>
      </c>
      <c r="S44" s="102">
        <v>4</v>
      </c>
      <c r="T44" s="102">
        <v>4</v>
      </c>
      <c r="U44" s="102">
        <v>0</v>
      </c>
      <c r="V44" s="102">
        <v>4</v>
      </c>
      <c r="W44" s="102">
        <v>6</v>
      </c>
      <c r="X44" s="102">
        <v>0</v>
      </c>
      <c r="Y44" s="102">
        <v>2</v>
      </c>
    </row>
    <row r="45" spans="2:25">
      <c r="B45" s="81" t="s">
        <v>63</v>
      </c>
      <c r="C45" s="81" t="s">
        <v>68</v>
      </c>
      <c r="D45" s="102">
        <v>0</v>
      </c>
      <c r="E45" s="102">
        <v>0</v>
      </c>
      <c r="F45" s="102">
        <v>2</v>
      </c>
      <c r="G45" s="102">
        <v>0</v>
      </c>
      <c r="H45" s="102">
        <v>0</v>
      </c>
      <c r="I45" s="102">
        <v>0</v>
      </c>
      <c r="J45" s="102">
        <v>0</v>
      </c>
      <c r="K45" s="102">
        <v>0</v>
      </c>
      <c r="L45" s="102">
        <v>0</v>
      </c>
      <c r="M45" s="102">
        <v>0</v>
      </c>
      <c r="N45" s="102">
        <v>0</v>
      </c>
      <c r="O45" s="102">
        <v>0</v>
      </c>
      <c r="P45" s="102">
        <v>0</v>
      </c>
      <c r="Q45" s="102">
        <v>0</v>
      </c>
      <c r="R45" s="103">
        <v>0</v>
      </c>
      <c r="S45" s="102">
        <v>0</v>
      </c>
      <c r="T45" s="102">
        <v>0</v>
      </c>
      <c r="U45" s="102">
        <v>2</v>
      </c>
      <c r="V45" s="102">
        <v>0</v>
      </c>
      <c r="W45" s="102">
        <v>0</v>
      </c>
      <c r="X45" s="102">
        <v>0</v>
      </c>
      <c r="Y45" s="102">
        <v>0</v>
      </c>
    </row>
    <row r="46" spans="2:25">
      <c r="B46" s="81" t="s">
        <v>64</v>
      </c>
      <c r="C46" s="81" t="s">
        <v>68</v>
      </c>
      <c r="D46" s="102">
        <v>0</v>
      </c>
      <c r="E46" s="102">
        <v>0</v>
      </c>
      <c r="F46" s="102">
        <v>2</v>
      </c>
      <c r="G46" s="102">
        <v>0</v>
      </c>
      <c r="H46" s="102">
        <v>0</v>
      </c>
      <c r="I46" s="102">
        <v>0</v>
      </c>
      <c r="J46" s="102">
        <v>0</v>
      </c>
      <c r="K46" s="102">
        <v>0</v>
      </c>
      <c r="L46" s="102">
        <v>0</v>
      </c>
      <c r="M46" s="102">
        <v>0</v>
      </c>
      <c r="N46" s="102">
        <v>0</v>
      </c>
      <c r="O46" s="102">
        <v>0</v>
      </c>
      <c r="P46" s="102">
        <v>0</v>
      </c>
      <c r="Q46" s="102">
        <v>0</v>
      </c>
      <c r="R46" s="103">
        <v>0</v>
      </c>
      <c r="S46" s="102">
        <v>0</v>
      </c>
      <c r="T46" s="102">
        <v>0</v>
      </c>
      <c r="U46" s="102">
        <v>2</v>
      </c>
      <c r="V46" s="102">
        <v>0</v>
      </c>
      <c r="W46" s="102">
        <v>0</v>
      </c>
      <c r="X46" s="102">
        <v>0</v>
      </c>
      <c r="Y46" s="102">
        <v>0</v>
      </c>
    </row>
    <row r="47" spans="2:25" ht="16">
      <c r="B47" s="83" t="s">
        <v>53</v>
      </c>
      <c r="C47" s="81" t="s">
        <v>82</v>
      </c>
      <c r="D47" s="104">
        <v>0</v>
      </c>
      <c r="E47" s="104">
        <v>0</v>
      </c>
      <c r="F47" s="104">
        <v>0</v>
      </c>
      <c r="G47" s="104">
        <v>0</v>
      </c>
      <c r="H47" s="104">
        <v>0</v>
      </c>
      <c r="I47" s="104">
        <v>0</v>
      </c>
      <c r="J47" s="104">
        <v>0</v>
      </c>
      <c r="K47" s="104">
        <v>0</v>
      </c>
      <c r="L47" s="104">
        <v>2</v>
      </c>
      <c r="M47" s="104">
        <v>0</v>
      </c>
      <c r="N47" s="104">
        <v>0</v>
      </c>
      <c r="O47" s="104">
        <v>0</v>
      </c>
      <c r="P47" s="104">
        <v>0</v>
      </c>
      <c r="Q47" s="104">
        <v>0</v>
      </c>
      <c r="R47" s="103">
        <v>0</v>
      </c>
      <c r="S47" s="104">
        <v>0</v>
      </c>
      <c r="T47" s="104">
        <v>0</v>
      </c>
      <c r="U47" s="104">
        <v>0</v>
      </c>
      <c r="V47" s="104">
        <v>0</v>
      </c>
      <c r="W47" s="104">
        <v>0</v>
      </c>
      <c r="X47" s="104">
        <v>0</v>
      </c>
      <c r="Y47" s="104">
        <v>0</v>
      </c>
    </row>
    <row r="48" spans="2:25">
      <c r="B48" s="81" t="s">
        <v>54</v>
      </c>
      <c r="C48" s="81" t="s">
        <v>69</v>
      </c>
      <c r="D48" s="102">
        <v>0</v>
      </c>
      <c r="E48" s="102">
        <v>0</v>
      </c>
      <c r="F48" s="102">
        <v>0</v>
      </c>
      <c r="G48" s="102">
        <v>0</v>
      </c>
      <c r="H48" s="102">
        <v>0</v>
      </c>
      <c r="I48" s="102">
        <v>0</v>
      </c>
      <c r="J48" s="102">
        <v>11</v>
      </c>
      <c r="K48" s="102">
        <v>0</v>
      </c>
      <c r="L48" s="102">
        <v>0</v>
      </c>
      <c r="M48" s="102">
        <v>0</v>
      </c>
      <c r="N48" s="102">
        <v>0</v>
      </c>
      <c r="O48" s="102">
        <v>0</v>
      </c>
      <c r="P48" s="102">
        <v>0</v>
      </c>
      <c r="Q48" s="102">
        <v>0</v>
      </c>
      <c r="R48" s="103">
        <v>0</v>
      </c>
      <c r="S48" s="102">
        <v>0</v>
      </c>
      <c r="T48" s="102">
        <v>0</v>
      </c>
      <c r="U48" s="102">
        <v>0</v>
      </c>
      <c r="V48" s="102">
        <v>0</v>
      </c>
      <c r="W48" s="102">
        <v>0</v>
      </c>
      <c r="X48" s="102">
        <v>11</v>
      </c>
      <c r="Y48" s="102">
        <v>0</v>
      </c>
    </row>
    <row r="49" spans="2:29" ht="16">
      <c r="B49" s="83" t="s">
        <v>55</v>
      </c>
      <c r="C49" s="82" t="s">
        <v>73</v>
      </c>
      <c r="D49" s="104">
        <v>0</v>
      </c>
      <c r="E49" s="104">
        <v>0</v>
      </c>
      <c r="F49" s="104">
        <v>0</v>
      </c>
      <c r="G49" s="104">
        <v>0</v>
      </c>
      <c r="H49" s="104">
        <v>0</v>
      </c>
      <c r="I49" s="104">
        <v>0</v>
      </c>
      <c r="J49" s="104">
        <v>0</v>
      </c>
      <c r="K49" s="104">
        <v>0</v>
      </c>
      <c r="L49" s="104">
        <v>0</v>
      </c>
      <c r="M49" s="104">
        <v>0</v>
      </c>
      <c r="N49" s="104">
        <v>0</v>
      </c>
      <c r="O49" s="104">
        <v>0</v>
      </c>
      <c r="P49" s="104">
        <v>0</v>
      </c>
      <c r="Q49" s="104">
        <v>0.16000000000000003</v>
      </c>
      <c r="R49" s="103">
        <v>0</v>
      </c>
      <c r="S49" s="104">
        <v>0</v>
      </c>
      <c r="T49" s="104">
        <v>0</v>
      </c>
      <c r="U49" s="104">
        <v>0</v>
      </c>
      <c r="V49" s="104">
        <v>0</v>
      </c>
      <c r="W49" s="104">
        <v>0</v>
      </c>
      <c r="X49" s="104">
        <v>0</v>
      </c>
      <c r="Y49" s="104">
        <v>0.16000000000000003</v>
      </c>
    </row>
    <row r="50" spans="2:29">
      <c r="B50" s="81" t="s">
        <v>71</v>
      </c>
      <c r="C50" s="82" t="s">
        <v>109</v>
      </c>
      <c r="D50" s="102">
        <v>0</v>
      </c>
      <c r="E50" s="102">
        <v>0</v>
      </c>
      <c r="F50" s="102">
        <v>0</v>
      </c>
      <c r="G50" s="102">
        <v>40</v>
      </c>
      <c r="H50" s="102">
        <v>0</v>
      </c>
      <c r="I50" s="102">
        <v>0</v>
      </c>
      <c r="J50" s="102">
        <v>0</v>
      </c>
      <c r="K50" s="102">
        <v>0</v>
      </c>
      <c r="L50" s="102">
        <v>0</v>
      </c>
      <c r="M50" s="102">
        <v>0</v>
      </c>
      <c r="N50" s="102">
        <v>0</v>
      </c>
      <c r="O50" s="102">
        <v>0</v>
      </c>
      <c r="P50" s="102">
        <v>0</v>
      </c>
      <c r="Q50" s="102">
        <v>0</v>
      </c>
      <c r="R50" s="103">
        <v>0</v>
      </c>
      <c r="S50" s="102">
        <v>0</v>
      </c>
      <c r="T50" s="102">
        <v>0</v>
      </c>
      <c r="U50" s="102">
        <v>0</v>
      </c>
      <c r="V50" s="102">
        <v>0</v>
      </c>
      <c r="W50" s="102">
        <v>0</v>
      </c>
      <c r="X50" s="102">
        <v>0</v>
      </c>
      <c r="Y50" s="102">
        <v>0</v>
      </c>
    </row>
    <row r="51" spans="2:29" ht="16">
      <c r="B51" s="83" t="s">
        <v>72</v>
      </c>
      <c r="C51" s="81" t="s">
        <v>73</v>
      </c>
      <c r="D51" s="102">
        <v>0</v>
      </c>
      <c r="E51" s="102">
        <v>0</v>
      </c>
      <c r="F51" s="102">
        <v>0</v>
      </c>
      <c r="G51" s="102">
        <v>0.5</v>
      </c>
      <c r="H51" s="102">
        <v>0</v>
      </c>
      <c r="I51" s="102">
        <v>0</v>
      </c>
      <c r="J51" s="102">
        <v>0</v>
      </c>
      <c r="K51" s="102">
        <v>0</v>
      </c>
      <c r="L51" s="102">
        <v>0</v>
      </c>
      <c r="M51" s="102">
        <v>0</v>
      </c>
      <c r="N51" s="102">
        <v>0</v>
      </c>
      <c r="O51" s="102">
        <v>0</v>
      </c>
      <c r="P51" s="102">
        <v>0</v>
      </c>
      <c r="Q51" s="102">
        <v>0</v>
      </c>
      <c r="R51" s="103">
        <v>0</v>
      </c>
      <c r="S51" s="102">
        <v>0</v>
      </c>
      <c r="T51" s="102">
        <v>0</v>
      </c>
      <c r="U51" s="102">
        <v>0</v>
      </c>
      <c r="V51" s="102">
        <v>0</v>
      </c>
      <c r="W51" s="102">
        <v>0</v>
      </c>
      <c r="X51" s="102">
        <v>0</v>
      </c>
      <c r="Y51" s="102">
        <v>0</v>
      </c>
    </row>
    <row r="52" spans="2:29" ht="21" customHeight="1">
      <c r="B52" s="81" t="s">
        <v>74</v>
      </c>
      <c r="C52" s="82" t="s">
        <v>109</v>
      </c>
      <c r="D52" s="102">
        <v>0</v>
      </c>
      <c r="E52" s="102">
        <v>0</v>
      </c>
      <c r="F52" s="102">
        <v>0</v>
      </c>
      <c r="G52" s="102">
        <v>0</v>
      </c>
      <c r="H52" s="102">
        <v>0</v>
      </c>
      <c r="I52" s="102">
        <v>0</v>
      </c>
      <c r="J52" s="102">
        <v>0</v>
      </c>
      <c r="K52" s="102">
        <v>0</v>
      </c>
      <c r="L52" s="102">
        <v>0</v>
      </c>
      <c r="M52" s="102">
        <v>0</v>
      </c>
      <c r="N52" s="102">
        <v>0</v>
      </c>
      <c r="O52" s="102">
        <v>0</v>
      </c>
      <c r="P52" s="102">
        <v>0</v>
      </c>
      <c r="Q52" s="102">
        <v>0</v>
      </c>
      <c r="R52" s="103">
        <v>0</v>
      </c>
      <c r="S52" s="102">
        <v>0</v>
      </c>
      <c r="T52" s="102">
        <v>0</v>
      </c>
      <c r="U52" s="102">
        <v>0</v>
      </c>
      <c r="V52" s="102">
        <v>22.4</v>
      </c>
      <c r="W52" s="102">
        <v>0</v>
      </c>
      <c r="X52" s="102">
        <v>0</v>
      </c>
      <c r="Y52" s="102">
        <v>0</v>
      </c>
    </row>
    <row r="53" spans="2:29" ht="21" customHeight="1">
      <c r="B53" s="84" t="s">
        <v>149</v>
      </c>
      <c r="C53" s="84" t="s">
        <v>154</v>
      </c>
      <c r="D53" s="102">
        <v>0</v>
      </c>
      <c r="E53" s="102">
        <v>0</v>
      </c>
      <c r="F53" s="102">
        <v>0</v>
      </c>
      <c r="G53" s="102">
        <v>0</v>
      </c>
      <c r="H53" s="102">
        <v>0</v>
      </c>
      <c r="I53" s="102">
        <v>0</v>
      </c>
      <c r="J53" s="102">
        <v>0</v>
      </c>
      <c r="K53" s="102">
        <v>0</v>
      </c>
      <c r="L53" s="102">
        <v>0</v>
      </c>
      <c r="M53" s="102">
        <v>0</v>
      </c>
      <c r="N53" s="102">
        <v>0</v>
      </c>
      <c r="O53" s="102">
        <v>0</v>
      </c>
      <c r="P53" s="102">
        <v>0</v>
      </c>
      <c r="Q53" s="102">
        <v>0</v>
      </c>
      <c r="R53" s="103">
        <v>0</v>
      </c>
      <c r="S53" s="102">
        <v>0</v>
      </c>
      <c r="T53" s="102">
        <v>0</v>
      </c>
      <c r="U53" s="102">
        <v>0</v>
      </c>
      <c r="V53" s="102">
        <v>0</v>
      </c>
      <c r="W53" s="102">
        <v>0</v>
      </c>
      <c r="X53" s="102">
        <v>0</v>
      </c>
      <c r="Y53" s="102">
        <v>0</v>
      </c>
    </row>
    <row r="54" spans="2:29" ht="21" customHeight="1">
      <c r="B54" s="84" t="s">
        <v>279</v>
      </c>
      <c r="C54" s="84" t="s">
        <v>154</v>
      </c>
      <c r="D54" s="102">
        <v>0</v>
      </c>
      <c r="E54" s="102">
        <v>0</v>
      </c>
      <c r="F54" s="102">
        <v>0</v>
      </c>
      <c r="G54" s="102">
        <v>0</v>
      </c>
      <c r="H54" s="102">
        <v>0</v>
      </c>
      <c r="I54" s="102">
        <v>0</v>
      </c>
      <c r="J54" s="102">
        <v>0</v>
      </c>
      <c r="K54" s="102">
        <v>0</v>
      </c>
      <c r="L54" s="102">
        <v>0</v>
      </c>
      <c r="M54" s="102">
        <v>0</v>
      </c>
      <c r="N54" s="102">
        <v>0</v>
      </c>
      <c r="O54" s="102">
        <v>0</v>
      </c>
      <c r="P54" s="102">
        <v>0</v>
      </c>
      <c r="Q54" s="102">
        <v>0</v>
      </c>
      <c r="R54" s="103">
        <v>4</v>
      </c>
      <c r="S54" s="102">
        <v>0</v>
      </c>
      <c r="T54" s="102">
        <v>0</v>
      </c>
      <c r="U54" s="102">
        <v>0</v>
      </c>
      <c r="V54" s="102">
        <v>0</v>
      </c>
      <c r="W54" s="102">
        <v>0</v>
      </c>
      <c r="X54" s="102">
        <v>0</v>
      </c>
      <c r="Y54" s="102">
        <v>0</v>
      </c>
    </row>
    <row r="55" spans="2:29" ht="21" customHeight="1">
      <c r="B55" s="84" t="s">
        <v>151</v>
      </c>
      <c r="C55" s="84" t="s">
        <v>154</v>
      </c>
      <c r="D55" s="102">
        <v>0</v>
      </c>
      <c r="E55" s="102">
        <v>0</v>
      </c>
      <c r="F55" s="102">
        <v>0</v>
      </c>
      <c r="G55" s="102">
        <v>0</v>
      </c>
      <c r="H55" s="102">
        <v>0</v>
      </c>
      <c r="I55" s="102">
        <v>0</v>
      </c>
      <c r="J55" s="102">
        <v>0</v>
      </c>
      <c r="K55" s="102">
        <v>0</v>
      </c>
      <c r="L55" s="102">
        <v>0</v>
      </c>
      <c r="M55" s="102">
        <v>0</v>
      </c>
      <c r="N55" s="102">
        <v>0</v>
      </c>
      <c r="O55" s="102">
        <v>0</v>
      </c>
      <c r="P55" s="102">
        <v>0</v>
      </c>
      <c r="Q55" s="102">
        <v>0</v>
      </c>
      <c r="R55" s="103">
        <v>0</v>
      </c>
      <c r="S55" s="102">
        <v>0</v>
      </c>
      <c r="T55" s="102">
        <v>0</v>
      </c>
      <c r="U55" s="102">
        <v>0</v>
      </c>
      <c r="V55" s="102">
        <v>0</v>
      </c>
      <c r="W55" s="102">
        <v>0</v>
      </c>
      <c r="X55" s="102">
        <v>0</v>
      </c>
      <c r="Y55" s="102">
        <v>0</v>
      </c>
    </row>
    <row r="56" spans="2:29" ht="21" customHeight="1">
      <c r="B56" s="84" t="s">
        <v>152</v>
      </c>
      <c r="C56" s="84" t="s">
        <v>154</v>
      </c>
      <c r="D56" s="102">
        <v>0</v>
      </c>
      <c r="E56" s="102">
        <v>0</v>
      </c>
      <c r="F56" s="102">
        <v>0</v>
      </c>
      <c r="G56" s="102">
        <v>0</v>
      </c>
      <c r="H56" s="102">
        <v>0</v>
      </c>
      <c r="I56" s="102">
        <v>0</v>
      </c>
      <c r="J56" s="102">
        <v>0</v>
      </c>
      <c r="K56" s="102">
        <v>0</v>
      </c>
      <c r="L56" s="102">
        <v>0</v>
      </c>
      <c r="M56" s="102">
        <v>0</v>
      </c>
      <c r="N56" s="102">
        <v>0</v>
      </c>
      <c r="O56" s="102">
        <v>0</v>
      </c>
      <c r="P56" s="102">
        <v>0</v>
      </c>
      <c r="Q56" s="102">
        <v>0</v>
      </c>
      <c r="R56" s="103">
        <v>0</v>
      </c>
      <c r="S56" s="102">
        <v>0</v>
      </c>
      <c r="T56" s="102">
        <v>0</v>
      </c>
      <c r="U56" s="102">
        <v>0</v>
      </c>
      <c r="V56" s="102">
        <v>0</v>
      </c>
      <c r="W56" s="102">
        <v>0</v>
      </c>
      <c r="X56" s="102">
        <v>0</v>
      </c>
      <c r="Y56" s="102">
        <v>0</v>
      </c>
    </row>
    <row r="57" spans="2:29" ht="21" customHeight="1">
      <c r="B57" s="84" t="s">
        <v>153</v>
      </c>
      <c r="C57" s="84" t="s">
        <v>155</v>
      </c>
      <c r="D57" s="102">
        <v>0</v>
      </c>
      <c r="E57" s="102">
        <v>0</v>
      </c>
      <c r="F57" s="102">
        <v>0</v>
      </c>
      <c r="G57" s="102">
        <v>0</v>
      </c>
      <c r="H57" s="102">
        <v>0</v>
      </c>
      <c r="I57" s="102">
        <v>0</v>
      </c>
      <c r="J57" s="102">
        <v>0</v>
      </c>
      <c r="K57" s="102">
        <v>0</v>
      </c>
      <c r="L57" s="102">
        <v>0</v>
      </c>
      <c r="M57" s="102">
        <v>0</v>
      </c>
      <c r="N57" s="102">
        <v>0</v>
      </c>
      <c r="O57" s="102">
        <v>0</v>
      </c>
      <c r="P57" s="102">
        <v>0</v>
      </c>
      <c r="Q57" s="102">
        <v>0</v>
      </c>
      <c r="R57" s="103">
        <v>0</v>
      </c>
      <c r="S57" s="102">
        <v>0</v>
      </c>
      <c r="T57" s="102">
        <v>0</v>
      </c>
      <c r="U57" s="102">
        <v>0</v>
      </c>
      <c r="V57" s="102">
        <v>0</v>
      </c>
      <c r="W57" s="102">
        <v>0</v>
      </c>
      <c r="X57" s="102">
        <v>0</v>
      </c>
      <c r="Y57" s="102">
        <v>0</v>
      </c>
    </row>
    <row r="58" spans="2:29" ht="21" customHeight="1">
      <c r="B58" s="84" t="s">
        <v>169</v>
      </c>
      <c r="C58" s="84" t="s">
        <v>154</v>
      </c>
      <c r="D58" s="102">
        <v>0</v>
      </c>
      <c r="E58" s="102">
        <v>0</v>
      </c>
      <c r="F58" s="102">
        <v>0</v>
      </c>
      <c r="G58" s="102">
        <v>0</v>
      </c>
      <c r="H58" s="102">
        <v>0</v>
      </c>
      <c r="I58" s="102">
        <v>0</v>
      </c>
      <c r="J58" s="102">
        <v>0</v>
      </c>
      <c r="K58" s="102">
        <v>0</v>
      </c>
      <c r="L58" s="102">
        <v>0</v>
      </c>
      <c r="M58" s="102">
        <v>0</v>
      </c>
      <c r="N58" s="102">
        <v>0</v>
      </c>
      <c r="O58" s="102">
        <v>0</v>
      </c>
      <c r="P58" s="102">
        <v>0</v>
      </c>
      <c r="Q58" s="102">
        <v>0</v>
      </c>
      <c r="R58" s="103">
        <v>0</v>
      </c>
      <c r="S58" s="102">
        <v>0</v>
      </c>
      <c r="T58" s="102">
        <v>0</v>
      </c>
      <c r="U58" s="102">
        <v>0</v>
      </c>
      <c r="V58" s="102">
        <v>0</v>
      </c>
      <c r="W58" s="102">
        <v>0</v>
      </c>
      <c r="X58" s="102">
        <v>0</v>
      </c>
      <c r="Y58" s="102">
        <v>0</v>
      </c>
    </row>
    <row r="59" spans="2:29" ht="21" customHeight="1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2:29" ht="21" customHeight="1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2:29" ht="21" customHeight="1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2:29" ht="21" customHeight="1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2:29" ht="21" customHeight="1">
      <c r="B63" s="5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2:29" ht="21" customHeight="1">
      <c r="B64" s="5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"/>
    </row>
    <row r="65" spans="1:3">
      <c r="B65" t="s">
        <v>56</v>
      </c>
    </row>
    <row r="66" spans="1:3">
      <c r="A66">
        <v>1</v>
      </c>
      <c r="B66">
        <f t="shared" ref="B66:B87" ca="1" si="2">SUMPRODUCT(OFFSET(baking_due_date_array,5,0),OFFSET(baking_due_date_array,A66+5,0))</f>
        <v>0</v>
      </c>
      <c r="C66" s="27" t="s">
        <v>184</v>
      </c>
    </row>
    <row r="67" spans="1:3">
      <c r="A67">
        <v>2</v>
      </c>
      <c r="B67">
        <f t="shared" ca="1" si="2"/>
        <v>0</v>
      </c>
      <c r="C67" s="27" t="s">
        <v>185</v>
      </c>
    </row>
    <row r="68" spans="1:3">
      <c r="A68">
        <v>3</v>
      </c>
      <c r="B68">
        <f t="shared" ca="1" si="2"/>
        <v>0</v>
      </c>
      <c r="C68" s="27" t="s">
        <v>186</v>
      </c>
    </row>
    <row r="69" spans="1:3">
      <c r="A69">
        <v>4</v>
      </c>
      <c r="B69">
        <f t="shared" ca="1" si="2"/>
        <v>0</v>
      </c>
    </row>
    <row r="70" spans="1:3">
      <c r="A70">
        <v>5</v>
      </c>
      <c r="B70">
        <f t="shared" ca="1" si="2"/>
        <v>0</v>
      </c>
    </row>
    <row r="71" spans="1:3">
      <c r="A71">
        <v>6</v>
      </c>
      <c r="B71">
        <f t="shared" ca="1" si="2"/>
        <v>0</v>
      </c>
    </row>
    <row r="72" spans="1:3">
      <c r="A72">
        <v>7</v>
      </c>
      <c r="B72">
        <f t="shared" ca="1" si="2"/>
        <v>0</v>
      </c>
    </row>
    <row r="73" spans="1:3">
      <c r="A73">
        <v>8</v>
      </c>
      <c r="B73">
        <f t="shared" ca="1" si="2"/>
        <v>0</v>
      </c>
    </row>
    <row r="74" spans="1:3">
      <c r="A74">
        <v>9</v>
      </c>
      <c r="B74">
        <f t="shared" ca="1" si="2"/>
        <v>0</v>
      </c>
    </row>
    <row r="75" spans="1:3">
      <c r="A75">
        <v>10</v>
      </c>
      <c r="B75">
        <f t="shared" ca="1" si="2"/>
        <v>0</v>
      </c>
    </row>
    <row r="76" spans="1:3">
      <c r="A76">
        <v>11</v>
      </c>
      <c r="B76">
        <f t="shared" ca="1" si="2"/>
        <v>0</v>
      </c>
    </row>
    <row r="77" spans="1:3">
      <c r="A77">
        <v>12</v>
      </c>
      <c r="B77">
        <f t="shared" ca="1" si="2"/>
        <v>0</v>
      </c>
    </row>
    <row r="78" spans="1:3">
      <c r="A78">
        <v>13</v>
      </c>
      <c r="B78">
        <f t="shared" ca="1" si="2"/>
        <v>0</v>
      </c>
    </row>
    <row r="79" spans="1:3">
      <c r="A79">
        <v>14</v>
      </c>
      <c r="B79">
        <f t="shared" ca="1" si="2"/>
        <v>0</v>
      </c>
    </row>
    <row r="80" spans="1:3">
      <c r="A80">
        <v>15</v>
      </c>
      <c r="B80">
        <f t="shared" ca="1" si="2"/>
        <v>0</v>
      </c>
    </row>
    <row r="81" spans="1:28">
      <c r="A81">
        <v>16</v>
      </c>
      <c r="B81">
        <f t="shared" ca="1" si="2"/>
        <v>0</v>
      </c>
    </row>
    <row r="82" spans="1:28">
      <c r="A82">
        <v>17</v>
      </c>
      <c r="B82">
        <f t="shared" ca="1" si="2"/>
        <v>0</v>
      </c>
    </row>
    <row r="83" spans="1:28">
      <c r="A83">
        <v>18</v>
      </c>
      <c r="B83">
        <f t="shared" ca="1" si="2"/>
        <v>0</v>
      </c>
    </row>
    <row r="84" spans="1:28">
      <c r="A84">
        <v>19</v>
      </c>
      <c r="B84">
        <f t="shared" ca="1" si="2"/>
        <v>0</v>
      </c>
    </row>
    <row r="85" spans="1:28">
      <c r="A85">
        <v>20</v>
      </c>
      <c r="B85">
        <f t="shared" ca="1" si="2"/>
        <v>0</v>
      </c>
    </row>
    <row r="86" spans="1:28">
      <c r="A86">
        <v>21</v>
      </c>
      <c r="B86">
        <f t="shared" ca="1" si="2"/>
        <v>0</v>
      </c>
    </row>
    <row r="87" spans="1:28">
      <c r="A87">
        <v>22</v>
      </c>
      <c r="B87">
        <f t="shared" ca="1" si="2"/>
        <v>0</v>
      </c>
    </row>
    <row r="89" spans="1:28" ht="16">
      <c r="C89" t="s">
        <v>111</v>
      </c>
      <c r="D89" t="s">
        <v>112</v>
      </c>
      <c r="E89" t="s">
        <v>113</v>
      </c>
      <c r="F89" s="13" t="s">
        <v>0</v>
      </c>
      <c r="G89" s="13" t="s">
        <v>5</v>
      </c>
      <c r="H89" s="13" t="s">
        <v>6</v>
      </c>
      <c r="I89" s="13" t="s">
        <v>7</v>
      </c>
      <c r="J89" s="13" t="s">
        <v>8</v>
      </c>
      <c r="K89" s="13" t="s">
        <v>3</v>
      </c>
      <c r="L89" s="13" t="s">
        <v>9</v>
      </c>
      <c r="M89" s="14" t="s">
        <v>10</v>
      </c>
      <c r="N89" s="14" t="s">
        <v>75</v>
      </c>
      <c r="O89" s="13" t="s">
        <v>1</v>
      </c>
      <c r="P89" s="13" t="s">
        <v>12</v>
      </c>
      <c r="Q89" s="13" t="s">
        <v>13</v>
      </c>
      <c r="R89" s="13"/>
      <c r="S89" s="13" t="s">
        <v>14</v>
      </c>
      <c r="T89" s="13" t="s">
        <v>15</v>
      </c>
      <c r="U89" s="15" t="s">
        <v>17</v>
      </c>
      <c r="V89" s="16" t="s">
        <v>18</v>
      </c>
      <c r="W89" s="16" t="s">
        <v>19</v>
      </c>
      <c r="X89" s="15" t="s">
        <v>24</v>
      </c>
      <c r="Y89" s="15" t="s">
        <v>20</v>
      </c>
      <c r="Z89" s="15" t="s">
        <v>21</v>
      </c>
      <c r="AA89" s="17" t="s">
        <v>22</v>
      </c>
    </row>
    <row r="90" spans="1:28" ht="16" thickBot="1">
      <c r="B90" s="2" t="s">
        <v>27</v>
      </c>
      <c r="C90" s="10" t="s">
        <v>65</v>
      </c>
      <c r="D90">
        <v>16</v>
      </c>
      <c r="E90" t="s">
        <v>109</v>
      </c>
      <c r="F90" s="18">
        <v>49.6</v>
      </c>
      <c r="G90" s="18">
        <v>46.4</v>
      </c>
      <c r="H90" s="18">
        <v>46.4</v>
      </c>
      <c r="I90" s="18">
        <v>60.8</v>
      </c>
      <c r="J90" s="18">
        <v>52.8</v>
      </c>
      <c r="K90" s="18">
        <v>57.6</v>
      </c>
      <c r="L90" s="18">
        <v>52.8</v>
      </c>
      <c r="M90" s="18">
        <v>32</v>
      </c>
      <c r="N90" s="18">
        <v>40</v>
      </c>
      <c r="O90" s="18">
        <v>32</v>
      </c>
      <c r="P90" s="18">
        <v>32</v>
      </c>
      <c r="Q90" s="18">
        <v>48</v>
      </c>
      <c r="R90" s="18"/>
      <c r="S90" s="18">
        <v>48</v>
      </c>
      <c r="T90" s="18">
        <v>0</v>
      </c>
      <c r="U90" s="18">
        <v>0</v>
      </c>
      <c r="V90" s="18">
        <v>0</v>
      </c>
      <c r="W90" s="18">
        <v>0</v>
      </c>
      <c r="X90" s="18">
        <v>0</v>
      </c>
      <c r="Y90" s="18">
        <v>0</v>
      </c>
      <c r="Z90" s="18">
        <v>0</v>
      </c>
      <c r="AA90" s="18">
        <v>0</v>
      </c>
      <c r="AB90">
        <v>800</v>
      </c>
    </row>
    <row r="91" spans="1:28" ht="16" thickBot="1">
      <c r="B91" s="2" t="s">
        <v>28</v>
      </c>
      <c r="C91" s="10" t="s">
        <v>66</v>
      </c>
      <c r="D91">
        <v>0.125</v>
      </c>
      <c r="E91" t="s">
        <v>73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18">
        <v>0</v>
      </c>
      <c r="N91" s="18">
        <v>0</v>
      </c>
      <c r="O91" s="18">
        <v>0</v>
      </c>
      <c r="P91" s="18">
        <v>0</v>
      </c>
      <c r="Q91" s="18">
        <v>0</v>
      </c>
      <c r="R91" s="18"/>
      <c r="S91" s="18">
        <v>0</v>
      </c>
      <c r="T91" s="18">
        <v>0</v>
      </c>
      <c r="U91" s="18">
        <v>1</v>
      </c>
      <c r="V91" s="18">
        <v>1</v>
      </c>
      <c r="W91" s="18">
        <v>1</v>
      </c>
      <c r="X91" s="18">
        <v>1</v>
      </c>
      <c r="Y91" s="18">
        <v>1</v>
      </c>
      <c r="Z91" s="18">
        <v>0</v>
      </c>
      <c r="AA91" s="18">
        <v>0</v>
      </c>
      <c r="AB91">
        <v>6</v>
      </c>
    </row>
    <row r="92" spans="1:28" ht="16" thickBot="1">
      <c r="B92" s="2" t="s">
        <v>29</v>
      </c>
      <c r="C92" s="10" t="s">
        <v>67</v>
      </c>
      <c r="D92">
        <v>4</v>
      </c>
      <c r="E92" t="s">
        <v>109</v>
      </c>
      <c r="F92" s="18">
        <v>24</v>
      </c>
      <c r="G92" s="18">
        <v>24</v>
      </c>
      <c r="H92" s="18">
        <v>24</v>
      </c>
      <c r="I92" s="18">
        <v>40</v>
      </c>
      <c r="J92" s="18">
        <v>24</v>
      </c>
      <c r="K92" s="18">
        <v>24</v>
      </c>
      <c r="L92" s="18">
        <v>24</v>
      </c>
      <c r="M92" s="18">
        <v>24</v>
      </c>
      <c r="N92" s="18">
        <v>24</v>
      </c>
      <c r="O92" s="18">
        <v>24</v>
      </c>
      <c r="P92" s="18">
        <v>24</v>
      </c>
      <c r="Q92" s="18">
        <v>24</v>
      </c>
      <c r="R92" s="18"/>
      <c r="S92" s="18">
        <v>24</v>
      </c>
      <c r="T92" s="18">
        <v>16</v>
      </c>
      <c r="U92" s="18">
        <v>16</v>
      </c>
      <c r="V92" s="18">
        <v>16</v>
      </c>
      <c r="W92" s="18">
        <v>16</v>
      </c>
      <c r="X92" s="18">
        <v>16</v>
      </c>
      <c r="Y92" s="18">
        <v>16</v>
      </c>
      <c r="Z92" s="18">
        <v>24</v>
      </c>
      <c r="AA92" s="18">
        <v>16</v>
      </c>
      <c r="AB92">
        <v>120</v>
      </c>
    </row>
    <row r="93" spans="1:28" ht="17" thickBot="1">
      <c r="B93" s="3" t="s">
        <v>30</v>
      </c>
      <c r="C93" s="9" t="s">
        <v>65</v>
      </c>
      <c r="D93">
        <v>16</v>
      </c>
      <c r="E93" t="s">
        <v>109</v>
      </c>
      <c r="F93" s="19">
        <v>0</v>
      </c>
      <c r="G93" s="19">
        <v>0</v>
      </c>
      <c r="H93" s="19">
        <v>0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6.4</v>
      </c>
      <c r="R93" s="19"/>
      <c r="S93" s="19">
        <v>6.4</v>
      </c>
      <c r="T93" s="19">
        <v>0</v>
      </c>
      <c r="U93" s="19">
        <v>0</v>
      </c>
      <c r="V93" s="19">
        <v>0</v>
      </c>
      <c r="W93" s="19">
        <v>0</v>
      </c>
      <c r="X93" s="19">
        <v>0</v>
      </c>
      <c r="Y93" s="19">
        <v>6.4</v>
      </c>
      <c r="Z93" s="19">
        <v>0</v>
      </c>
      <c r="AA93" s="19">
        <v>0</v>
      </c>
      <c r="AB93">
        <v>16</v>
      </c>
    </row>
    <row r="94" spans="1:28" ht="16" thickBot="1">
      <c r="B94" s="2" t="s">
        <v>57</v>
      </c>
      <c r="C94" s="10" t="s">
        <v>68</v>
      </c>
      <c r="D94">
        <v>1</v>
      </c>
      <c r="E94" s="10" t="s">
        <v>68</v>
      </c>
      <c r="F94" s="18">
        <v>3</v>
      </c>
      <c r="G94" s="18">
        <v>3</v>
      </c>
      <c r="H94" s="18">
        <v>3</v>
      </c>
      <c r="I94" s="18">
        <v>0</v>
      </c>
      <c r="J94" s="18">
        <v>3</v>
      </c>
      <c r="K94" s="18">
        <v>7.5</v>
      </c>
      <c r="L94" s="18">
        <v>3</v>
      </c>
      <c r="M94" s="18">
        <v>3</v>
      </c>
      <c r="N94" s="18">
        <v>3</v>
      </c>
      <c r="O94" s="18">
        <v>3</v>
      </c>
      <c r="P94" s="18">
        <v>3</v>
      </c>
      <c r="Q94" s="18">
        <v>3</v>
      </c>
      <c r="R94" s="18"/>
      <c r="S94" s="18">
        <v>3</v>
      </c>
      <c r="T94" s="18">
        <v>8</v>
      </c>
      <c r="U94" s="18">
        <v>2.5</v>
      </c>
      <c r="V94" s="18">
        <v>2.5</v>
      </c>
      <c r="W94" s="18">
        <v>2.5</v>
      </c>
      <c r="X94" s="18">
        <v>2.5</v>
      </c>
      <c r="Y94" s="18">
        <v>2.5</v>
      </c>
      <c r="Z94" s="18">
        <v>3</v>
      </c>
      <c r="AA94" s="18">
        <v>8</v>
      </c>
      <c r="AB94">
        <v>80</v>
      </c>
    </row>
    <row r="95" spans="1:28" ht="17" thickBot="1">
      <c r="B95" s="2" t="s">
        <v>58</v>
      </c>
      <c r="C95" s="10" t="s">
        <v>68</v>
      </c>
      <c r="D95">
        <v>1</v>
      </c>
      <c r="E95" s="10" t="s">
        <v>68</v>
      </c>
      <c r="F95" s="18">
        <v>0</v>
      </c>
      <c r="G95" s="18">
        <v>0</v>
      </c>
      <c r="H95" s="18">
        <v>0</v>
      </c>
      <c r="I95" s="18">
        <v>2</v>
      </c>
      <c r="J95" s="18">
        <v>0</v>
      </c>
      <c r="K95" s="20">
        <v>0</v>
      </c>
      <c r="L95" s="18">
        <v>0</v>
      </c>
      <c r="M95" s="18">
        <v>0</v>
      </c>
      <c r="N95" s="18">
        <v>0</v>
      </c>
      <c r="O95" s="18">
        <v>0</v>
      </c>
      <c r="P95" s="18">
        <v>0</v>
      </c>
      <c r="Q95" s="18">
        <v>0</v>
      </c>
      <c r="R95" s="18"/>
      <c r="S95" s="18">
        <v>0</v>
      </c>
      <c r="T95" s="18">
        <v>0</v>
      </c>
      <c r="U95" s="18">
        <v>0.5</v>
      </c>
      <c r="V95" s="18">
        <v>0.5</v>
      </c>
      <c r="W95" s="18">
        <v>0.5</v>
      </c>
      <c r="X95" s="18">
        <v>0.5</v>
      </c>
      <c r="Y95" s="18">
        <v>0.5</v>
      </c>
      <c r="Z95" s="18">
        <v>0.5</v>
      </c>
      <c r="AA95" s="18">
        <v>0</v>
      </c>
      <c r="AB95">
        <v>47</v>
      </c>
    </row>
    <row r="96" spans="1:28" ht="16" thickBot="1">
      <c r="B96" s="2" t="s">
        <v>31</v>
      </c>
      <c r="C96" s="10" t="s">
        <v>68</v>
      </c>
      <c r="D96">
        <v>1</v>
      </c>
      <c r="E96" s="10" t="s">
        <v>68</v>
      </c>
      <c r="F96" s="18">
        <v>4</v>
      </c>
      <c r="G96" s="18">
        <v>4</v>
      </c>
      <c r="H96" s="18">
        <v>4</v>
      </c>
      <c r="I96" s="18">
        <v>4</v>
      </c>
      <c r="J96" s="18">
        <v>4</v>
      </c>
      <c r="K96" s="18">
        <v>5</v>
      </c>
      <c r="L96" s="18">
        <v>4</v>
      </c>
      <c r="M96" s="18">
        <v>4</v>
      </c>
      <c r="N96" s="18">
        <v>5</v>
      </c>
      <c r="O96" s="18">
        <v>4</v>
      </c>
      <c r="P96" s="18">
        <v>4</v>
      </c>
      <c r="Q96" s="18">
        <v>4</v>
      </c>
      <c r="R96" s="18"/>
      <c r="S96" s="18">
        <v>4</v>
      </c>
      <c r="T96" s="18">
        <v>5</v>
      </c>
      <c r="U96" s="18">
        <v>5</v>
      </c>
      <c r="V96" s="18">
        <v>5</v>
      </c>
      <c r="W96" s="18">
        <v>5</v>
      </c>
      <c r="X96" s="18">
        <v>5</v>
      </c>
      <c r="Y96" s="18">
        <v>5</v>
      </c>
      <c r="Z96" s="18">
        <v>4</v>
      </c>
      <c r="AA96" s="18">
        <v>5</v>
      </c>
      <c r="AB96">
        <v>130</v>
      </c>
    </row>
    <row r="97" spans="2:28" ht="17" thickBot="1">
      <c r="B97" s="3" t="s">
        <v>32</v>
      </c>
      <c r="C97" s="9" t="s">
        <v>82</v>
      </c>
      <c r="D97">
        <v>1</v>
      </c>
      <c r="E97" s="9" t="s">
        <v>82</v>
      </c>
      <c r="F97" s="21">
        <v>4</v>
      </c>
      <c r="G97" s="21">
        <v>4</v>
      </c>
      <c r="H97" s="21">
        <v>4</v>
      </c>
      <c r="I97" s="21">
        <v>4</v>
      </c>
      <c r="J97" s="21">
        <v>4</v>
      </c>
      <c r="K97" s="21">
        <v>6</v>
      </c>
      <c r="L97" s="20">
        <v>2</v>
      </c>
      <c r="M97" s="21">
        <v>4</v>
      </c>
      <c r="N97" s="21">
        <v>4</v>
      </c>
      <c r="O97" s="21">
        <v>4</v>
      </c>
      <c r="P97" s="21">
        <v>4</v>
      </c>
      <c r="Q97" s="20">
        <v>6</v>
      </c>
      <c r="R97" s="20"/>
      <c r="S97" s="20">
        <v>6</v>
      </c>
      <c r="T97" s="20">
        <v>10</v>
      </c>
      <c r="U97" s="20">
        <v>4</v>
      </c>
      <c r="V97" s="20">
        <v>4</v>
      </c>
      <c r="W97" s="20">
        <v>4</v>
      </c>
      <c r="X97" s="20">
        <v>4</v>
      </c>
      <c r="Y97" s="20">
        <v>6</v>
      </c>
      <c r="Z97" s="20">
        <v>2</v>
      </c>
      <c r="AA97" s="20">
        <v>10</v>
      </c>
      <c r="AB97">
        <v>60</v>
      </c>
    </row>
    <row r="98" spans="2:28" ht="17" thickBot="1">
      <c r="B98" s="3" t="s">
        <v>33</v>
      </c>
      <c r="C98" s="9" t="s">
        <v>65</v>
      </c>
      <c r="D98">
        <v>16</v>
      </c>
      <c r="E98" t="s">
        <v>109</v>
      </c>
      <c r="F98" s="19">
        <v>19.2</v>
      </c>
      <c r="G98" s="19">
        <v>19.2</v>
      </c>
      <c r="H98" s="19">
        <v>19.2</v>
      </c>
      <c r="I98" s="19">
        <v>0</v>
      </c>
      <c r="J98" s="19">
        <v>0</v>
      </c>
      <c r="K98" s="19">
        <v>28.8</v>
      </c>
      <c r="L98" s="19">
        <v>16</v>
      </c>
      <c r="M98" s="19">
        <v>19.2</v>
      </c>
      <c r="N98" s="19">
        <v>19.2</v>
      </c>
      <c r="O98" s="19">
        <v>19.2</v>
      </c>
      <c r="P98" s="19">
        <v>19.2</v>
      </c>
      <c r="Q98" s="19">
        <v>22.4</v>
      </c>
      <c r="R98" s="19"/>
      <c r="S98" s="19">
        <v>22.4</v>
      </c>
      <c r="T98" s="19">
        <v>48</v>
      </c>
      <c r="U98" s="19">
        <v>22.4</v>
      </c>
      <c r="V98" s="19">
        <v>22.4</v>
      </c>
      <c r="W98" s="19">
        <v>22.4</v>
      </c>
      <c r="X98" s="19">
        <v>22.4</v>
      </c>
      <c r="Y98" s="19">
        <v>22.4</v>
      </c>
      <c r="Z98" s="19">
        <v>12.8</v>
      </c>
      <c r="AA98" s="19">
        <v>48</v>
      </c>
      <c r="AB98">
        <v>800</v>
      </c>
    </row>
    <row r="99" spans="2:28" ht="17" thickBot="1">
      <c r="B99" s="3" t="s">
        <v>34</v>
      </c>
      <c r="C99" s="9" t="s">
        <v>65</v>
      </c>
      <c r="D99">
        <v>16</v>
      </c>
      <c r="E99" t="s">
        <v>109</v>
      </c>
      <c r="F99" s="19">
        <v>19.2</v>
      </c>
      <c r="G99" s="19">
        <v>19.2</v>
      </c>
      <c r="H99" s="19">
        <v>19.2</v>
      </c>
      <c r="I99" s="19">
        <v>43.2</v>
      </c>
      <c r="J99" s="19">
        <v>32</v>
      </c>
      <c r="K99" s="19">
        <v>27.2</v>
      </c>
      <c r="L99" s="19">
        <v>16</v>
      </c>
      <c r="M99" s="19">
        <v>19.2</v>
      </c>
      <c r="N99" s="19">
        <v>19.2</v>
      </c>
      <c r="O99" s="19">
        <v>19.2</v>
      </c>
      <c r="P99" s="19">
        <v>19.2</v>
      </c>
      <c r="Q99" s="19">
        <v>22.4</v>
      </c>
      <c r="R99" s="19"/>
      <c r="S99" s="19">
        <v>22.4</v>
      </c>
      <c r="T99" s="19">
        <v>0</v>
      </c>
      <c r="U99" s="19">
        <v>19.2</v>
      </c>
      <c r="V99" s="19">
        <v>19.2</v>
      </c>
      <c r="W99" s="19">
        <v>19.2</v>
      </c>
      <c r="X99" s="19">
        <v>19.2</v>
      </c>
      <c r="Y99" s="19">
        <v>22.4</v>
      </c>
      <c r="Z99" s="19">
        <v>14.4</v>
      </c>
      <c r="AA99" s="19">
        <v>0</v>
      </c>
      <c r="AB99">
        <v>800</v>
      </c>
    </row>
    <row r="100" spans="2:28" ht="17" thickBot="1">
      <c r="B100" s="3" t="s">
        <v>59</v>
      </c>
      <c r="C100" s="9" t="s">
        <v>69</v>
      </c>
      <c r="D100">
        <v>8.33</v>
      </c>
      <c r="E100" t="s">
        <v>110</v>
      </c>
      <c r="F100" s="20">
        <v>0</v>
      </c>
      <c r="G100" s="20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>
        <v>0</v>
      </c>
      <c r="N100" s="20">
        <v>0</v>
      </c>
      <c r="O100" s="20">
        <v>0</v>
      </c>
      <c r="P100" s="20">
        <v>0</v>
      </c>
      <c r="Q100" s="20">
        <v>0</v>
      </c>
      <c r="R100" s="20"/>
      <c r="S100" s="20">
        <v>0</v>
      </c>
      <c r="T100" s="20">
        <v>0</v>
      </c>
      <c r="U100" s="20">
        <v>8.33</v>
      </c>
      <c r="V100" s="20">
        <v>8.33</v>
      </c>
      <c r="W100" s="20">
        <v>8.33</v>
      </c>
      <c r="X100" s="20">
        <v>8.33</v>
      </c>
      <c r="Y100" s="20">
        <v>8.33</v>
      </c>
      <c r="Z100" s="20">
        <v>8.33</v>
      </c>
      <c r="AA100" s="20">
        <v>0</v>
      </c>
      <c r="AB100">
        <v>133.28</v>
      </c>
    </row>
    <row r="101" spans="2:28" ht="17" thickBot="1">
      <c r="B101" s="3" t="s">
        <v>35</v>
      </c>
      <c r="C101" s="9" t="s">
        <v>69</v>
      </c>
      <c r="D101">
        <v>0.24</v>
      </c>
      <c r="E101" t="s">
        <v>73</v>
      </c>
      <c r="F101" s="19">
        <v>0</v>
      </c>
      <c r="G101" s="19">
        <v>0</v>
      </c>
      <c r="H101" s="19">
        <v>0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/>
      <c r="S101" s="19">
        <v>0</v>
      </c>
      <c r="T101" s="19">
        <v>0</v>
      </c>
      <c r="U101" s="19">
        <v>0.55679999999999996</v>
      </c>
      <c r="V101" s="19">
        <v>0.55679999999999996</v>
      </c>
      <c r="W101" s="19">
        <v>0.55679999999999996</v>
      </c>
      <c r="X101" s="19">
        <v>0.55679999999999996</v>
      </c>
      <c r="Y101" s="19">
        <v>0.55679999999999996</v>
      </c>
      <c r="Z101" s="19">
        <v>0.55679999999999996</v>
      </c>
      <c r="AA101" s="19">
        <v>0</v>
      </c>
      <c r="AB101">
        <v>96</v>
      </c>
    </row>
    <row r="102" spans="2:28" ht="17" thickBot="1">
      <c r="B102" s="3" t="s">
        <v>36</v>
      </c>
      <c r="C102" s="9" t="s">
        <v>69</v>
      </c>
      <c r="D102">
        <v>0.3</v>
      </c>
      <c r="E102" t="s">
        <v>73</v>
      </c>
      <c r="F102" s="19">
        <v>0</v>
      </c>
      <c r="G102" s="19">
        <v>0</v>
      </c>
      <c r="H102" s="19">
        <v>0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/>
      <c r="S102" s="19">
        <v>0</v>
      </c>
      <c r="T102" s="19">
        <v>0</v>
      </c>
      <c r="U102" s="19">
        <v>1.0920000000000001</v>
      </c>
      <c r="V102" s="19">
        <v>1.0920000000000001</v>
      </c>
      <c r="W102" s="19">
        <v>1.0920000000000001</v>
      </c>
      <c r="X102" s="19">
        <v>1.0920000000000001</v>
      </c>
      <c r="Y102" s="19">
        <v>1.0920000000000001</v>
      </c>
      <c r="Z102" s="19">
        <v>1.0920000000000001</v>
      </c>
      <c r="AA102" s="19">
        <v>0</v>
      </c>
      <c r="AB102">
        <v>120</v>
      </c>
    </row>
    <row r="103" spans="2:28" ht="17" thickBot="1">
      <c r="B103" s="3" t="s">
        <v>37</v>
      </c>
      <c r="C103" s="9" t="s">
        <v>65</v>
      </c>
      <c r="D103">
        <v>16</v>
      </c>
      <c r="E103" t="s">
        <v>109</v>
      </c>
      <c r="F103" s="22">
        <v>0</v>
      </c>
      <c r="G103" s="22">
        <v>0</v>
      </c>
      <c r="H103" s="22">
        <v>0</v>
      </c>
      <c r="I103" s="22">
        <v>0</v>
      </c>
      <c r="J103" s="22">
        <v>0</v>
      </c>
      <c r="K103" s="22">
        <v>0</v>
      </c>
      <c r="L103" s="22">
        <v>0</v>
      </c>
      <c r="M103" s="22">
        <v>0</v>
      </c>
      <c r="N103" s="22">
        <v>0</v>
      </c>
      <c r="O103" s="22">
        <v>0</v>
      </c>
      <c r="P103" s="22">
        <v>0</v>
      </c>
      <c r="Q103" s="22">
        <v>0</v>
      </c>
      <c r="R103" s="22"/>
      <c r="S103" s="22">
        <v>0</v>
      </c>
      <c r="T103" s="22">
        <v>0</v>
      </c>
      <c r="U103" s="20">
        <v>41.6</v>
      </c>
      <c r="V103" s="20">
        <v>41.6</v>
      </c>
      <c r="W103" s="20">
        <v>41.6</v>
      </c>
      <c r="X103" s="20">
        <v>41.6</v>
      </c>
      <c r="Y103" s="20">
        <v>41.6</v>
      </c>
      <c r="Z103" s="20">
        <v>48</v>
      </c>
      <c r="AA103" s="20">
        <v>0</v>
      </c>
      <c r="AB103">
        <v>800</v>
      </c>
    </row>
    <row r="104" spans="2:28" ht="17" thickBot="1">
      <c r="B104" s="3" t="s">
        <v>38</v>
      </c>
      <c r="C104" s="9" t="s">
        <v>69</v>
      </c>
      <c r="D104">
        <v>1</v>
      </c>
      <c r="E104" s="9" t="s">
        <v>69</v>
      </c>
      <c r="F104" s="19">
        <v>0</v>
      </c>
      <c r="G104" s="19">
        <v>0</v>
      </c>
      <c r="H104" s="19">
        <v>0</v>
      </c>
      <c r="I104" s="19">
        <v>0</v>
      </c>
      <c r="J104" s="19">
        <v>0</v>
      </c>
      <c r="K104" s="19">
        <v>27</v>
      </c>
      <c r="L104" s="19">
        <v>0</v>
      </c>
      <c r="M104" s="19">
        <v>0</v>
      </c>
      <c r="N104" s="19">
        <v>0</v>
      </c>
      <c r="O104" s="19">
        <v>0</v>
      </c>
      <c r="P104" s="19">
        <v>0</v>
      </c>
      <c r="Q104" s="19">
        <v>0</v>
      </c>
      <c r="R104" s="19"/>
      <c r="S104" s="19">
        <v>0</v>
      </c>
      <c r="T104" s="19">
        <v>53</v>
      </c>
      <c r="U104" s="19">
        <v>0</v>
      </c>
      <c r="V104" s="19">
        <v>0</v>
      </c>
      <c r="W104" s="19">
        <v>0</v>
      </c>
      <c r="X104" s="19">
        <v>0</v>
      </c>
      <c r="Y104" s="19">
        <v>0</v>
      </c>
      <c r="Z104" s="19">
        <v>0</v>
      </c>
      <c r="AA104" s="19">
        <v>53</v>
      </c>
      <c r="AB104">
        <v>40</v>
      </c>
    </row>
    <row r="105" spans="2:28" ht="17" thickBot="1">
      <c r="B105" s="3" t="s">
        <v>39</v>
      </c>
      <c r="C105" s="9" t="s">
        <v>65</v>
      </c>
      <c r="D105">
        <v>16</v>
      </c>
      <c r="E105" t="s">
        <v>109</v>
      </c>
      <c r="F105" s="19">
        <v>0</v>
      </c>
      <c r="G105" s="19">
        <v>0</v>
      </c>
      <c r="H105" s="19">
        <v>0</v>
      </c>
      <c r="I105" s="19">
        <v>0</v>
      </c>
      <c r="J105" s="19">
        <v>0</v>
      </c>
      <c r="K105" s="19">
        <v>0</v>
      </c>
      <c r="L105" s="19">
        <v>0</v>
      </c>
      <c r="M105" s="19">
        <v>22.4</v>
      </c>
      <c r="N105" s="19">
        <v>22.4</v>
      </c>
      <c r="O105" s="19">
        <v>22.4</v>
      </c>
      <c r="P105" s="19">
        <v>22.4</v>
      </c>
      <c r="Q105" s="19">
        <v>0</v>
      </c>
      <c r="R105" s="19"/>
      <c r="S105" s="19">
        <v>0</v>
      </c>
      <c r="T105" s="19">
        <v>57.6</v>
      </c>
      <c r="U105" s="19">
        <v>0</v>
      </c>
      <c r="V105" s="19">
        <v>0</v>
      </c>
      <c r="W105" s="19">
        <v>0</v>
      </c>
      <c r="X105" s="19">
        <v>0</v>
      </c>
      <c r="Y105" s="19">
        <v>0</v>
      </c>
      <c r="Z105" s="19">
        <v>0</v>
      </c>
      <c r="AA105" s="19">
        <v>57.6</v>
      </c>
      <c r="AB105">
        <v>800</v>
      </c>
    </row>
    <row r="106" spans="2:28" ht="17" thickBot="1">
      <c r="B106" s="3" t="s">
        <v>40</v>
      </c>
      <c r="C106" s="9" t="s">
        <v>66</v>
      </c>
      <c r="D106">
        <v>0.125</v>
      </c>
      <c r="E106" t="s">
        <v>73</v>
      </c>
      <c r="F106" s="20">
        <v>0</v>
      </c>
      <c r="G106" s="20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2</v>
      </c>
      <c r="M106" s="20">
        <v>0</v>
      </c>
      <c r="N106" s="20">
        <v>0</v>
      </c>
      <c r="O106" s="20">
        <v>0</v>
      </c>
      <c r="P106" s="20">
        <v>0</v>
      </c>
      <c r="Q106" s="20">
        <v>0</v>
      </c>
      <c r="R106" s="20"/>
      <c r="S106" s="20">
        <v>0</v>
      </c>
      <c r="T106" s="20">
        <v>0</v>
      </c>
      <c r="U106" s="20">
        <v>0</v>
      </c>
      <c r="V106" s="20">
        <v>0</v>
      </c>
      <c r="W106" s="20">
        <v>0</v>
      </c>
      <c r="X106" s="20">
        <v>0</v>
      </c>
      <c r="Y106" s="20">
        <v>0</v>
      </c>
      <c r="Z106" s="20">
        <v>2</v>
      </c>
      <c r="AA106" s="20">
        <v>0</v>
      </c>
      <c r="AB106">
        <v>16</v>
      </c>
    </row>
    <row r="107" spans="2:28" ht="17" thickBot="1">
      <c r="B107" s="3" t="s">
        <v>41</v>
      </c>
      <c r="C107" s="9" t="s">
        <v>68</v>
      </c>
      <c r="D107">
        <v>1</v>
      </c>
      <c r="E107" s="9" t="s">
        <v>68</v>
      </c>
      <c r="F107" s="19">
        <v>0</v>
      </c>
      <c r="G107" s="19">
        <v>0</v>
      </c>
      <c r="H107" s="19">
        <v>0</v>
      </c>
      <c r="I107" s="19">
        <v>0</v>
      </c>
      <c r="J107" s="19">
        <v>2</v>
      </c>
      <c r="K107" s="19">
        <v>0</v>
      </c>
      <c r="L107" s="19">
        <v>0</v>
      </c>
      <c r="M107" s="19">
        <v>0</v>
      </c>
      <c r="N107" s="19">
        <v>0</v>
      </c>
      <c r="O107" s="19">
        <v>0</v>
      </c>
      <c r="P107" s="19">
        <v>0</v>
      </c>
      <c r="Q107" s="19">
        <v>0</v>
      </c>
      <c r="R107" s="19"/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  <c r="Z107" s="19">
        <v>0</v>
      </c>
      <c r="AA107" s="19">
        <v>0</v>
      </c>
      <c r="AB107">
        <v>133.30000000000001</v>
      </c>
    </row>
    <row r="108" spans="2:28" ht="17" thickBot="1">
      <c r="B108" s="3" t="s">
        <v>42</v>
      </c>
      <c r="C108" s="9" t="s">
        <v>68</v>
      </c>
      <c r="D108">
        <v>1</v>
      </c>
      <c r="E108" s="9" t="s">
        <v>68</v>
      </c>
      <c r="F108" s="23">
        <v>0</v>
      </c>
      <c r="G108" s="23">
        <v>0</v>
      </c>
      <c r="H108" s="23">
        <v>0</v>
      </c>
      <c r="I108" s="23">
        <v>0</v>
      </c>
      <c r="J108" s="23">
        <v>6</v>
      </c>
      <c r="K108" s="23">
        <v>0</v>
      </c>
      <c r="L108" s="23">
        <v>2</v>
      </c>
      <c r="M108" s="23">
        <v>0</v>
      </c>
      <c r="N108" s="23">
        <v>0</v>
      </c>
      <c r="O108" s="23">
        <v>0</v>
      </c>
      <c r="P108" s="23">
        <v>0</v>
      </c>
      <c r="Q108" s="23">
        <v>0</v>
      </c>
      <c r="R108" s="23"/>
      <c r="S108" s="23">
        <v>0</v>
      </c>
      <c r="T108" s="23">
        <v>0</v>
      </c>
      <c r="U108" s="23">
        <v>0</v>
      </c>
      <c r="V108" s="23">
        <v>0</v>
      </c>
      <c r="W108" s="23">
        <v>0</v>
      </c>
      <c r="X108" s="23">
        <v>0</v>
      </c>
      <c r="Y108" s="23">
        <v>0</v>
      </c>
      <c r="Z108" s="23">
        <v>2</v>
      </c>
      <c r="AA108" s="23">
        <v>0</v>
      </c>
      <c r="AB108">
        <v>177.8</v>
      </c>
    </row>
    <row r="109" spans="2:28" ht="17" thickBot="1">
      <c r="B109" s="3" t="s">
        <v>43</v>
      </c>
      <c r="C109" s="9" t="s">
        <v>68</v>
      </c>
      <c r="D109">
        <v>1</v>
      </c>
      <c r="E109" s="9" t="s">
        <v>68</v>
      </c>
      <c r="F109" s="20">
        <v>0</v>
      </c>
      <c r="G109" s="20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2</v>
      </c>
      <c r="M109" s="20">
        <v>0</v>
      </c>
      <c r="N109" s="20">
        <v>0</v>
      </c>
      <c r="O109" s="20">
        <v>0</v>
      </c>
      <c r="P109" s="20">
        <v>0</v>
      </c>
      <c r="Q109" s="20">
        <v>0</v>
      </c>
      <c r="R109" s="20"/>
      <c r="S109" s="20">
        <v>0</v>
      </c>
      <c r="T109" s="20">
        <v>0</v>
      </c>
      <c r="U109" s="20">
        <v>0</v>
      </c>
      <c r="V109" s="20">
        <v>0</v>
      </c>
      <c r="W109" s="20">
        <v>0</v>
      </c>
      <c r="X109" s="20">
        <v>0</v>
      </c>
      <c r="Y109" s="20">
        <v>0</v>
      </c>
      <c r="Z109" s="20">
        <v>2</v>
      </c>
      <c r="AA109" s="20">
        <v>0</v>
      </c>
      <c r="AB109">
        <v>320</v>
      </c>
    </row>
    <row r="110" spans="2:28" ht="17" thickBot="1">
      <c r="B110" s="3" t="s">
        <v>60</v>
      </c>
      <c r="C110" s="9" t="s">
        <v>65</v>
      </c>
      <c r="D110">
        <v>2.67</v>
      </c>
      <c r="E110" t="s">
        <v>73</v>
      </c>
      <c r="F110" s="23">
        <v>4.2720000000000002</v>
      </c>
      <c r="G110" s="23">
        <v>0</v>
      </c>
      <c r="H110" s="23">
        <v>0</v>
      </c>
      <c r="I110" s="23">
        <v>0</v>
      </c>
      <c r="J110" s="23">
        <v>0</v>
      </c>
      <c r="K110" s="23">
        <v>0</v>
      </c>
      <c r="L110" s="23">
        <v>0</v>
      </c>
      <c r="M110" s="23">
        <v>2.1360000000000001</v>
      </c>
      <c r="N110" s="23">
        <v>0</v>
      </c>
      <c r="O110" s="23">
        <v>0</v>
      </c>
      <c r="P110" s="23">
        <v>0</v>
      </c>
      <c r="Q110" s="23">
        <v>4.2720000000000002</v>
      </c>
      <c r="R110" s="23"/>
      <c r="S110" s="23">
        <v>0</v>
      </c>
      <c r="T110" s="23">
        <v>2.1360000000000001</v>
      </c>
      <c r="U110" s="23">
        <v>4.2720000000000002</v>
      </c>
      <c r="V110" s="23">
        <v>0</v>
      </c>
      <c r="W110" s="23">
        <v>0</v>
      </c>
      <c r="X110" s="23">
        <v>2.1360000000000001</v>
      </c>
      <c r="Y110" s="23">
        <v>4.2720000000000002</v>
      </c>
      <c r="Z110" s="23">
        <v>0</v>
      </c>
      <c r="AA110" s="23">
        <v>2.1360000000000001</v>
      </c>
      <c r="AB110">
        <v>58.739999999999995</v>
      </c>
    </row>
    <row r="111" spans="2:28" ht="17" thickBot="1">
      <c r="B111" s="3" t="s">
        <v>44</v>
      </c>
      <c r="C111" s="9" t="s">
        <v>65</v>
      </c>
      <c r="D111">
        <v>2.67</v>
      </c>
      <c r="E111" t="s">
        <v>73</v>
      </c>
      <c r="F111" s="23">
        <v>0</v>
      </c>
      <c r="G111" s="23">
        <v>0</v>
      </c>
      <c r="H111" s="23">
        <v>0</v>
      </c>
      <c r="I111" s="23">
        <v>0</v>
      </c>
      <c r="J111" s="23">
        <v>0</v>
      </c>
      <c r="K111" s="23">
        <v>0</v>
      </c>
      <c r="L111" s="23">
        <v>0</v>
      </c>
      <c r="M111" s="23">
        <v>1.0680000000000001</v>
      </c>
      <c r="N111" s="23">
        <v>0</v>
      </c>
      <c r="O111" s="23">
        <v>0</v>
      </c>
      <c r="P111" s="23">
        <v>0</v>
      </c>
      <c r="Q111" s="23">
        <v>0</v>
      </c>
      <c r="R111" s="23"/>
      <c r="S111" s="23">
        <v>0</v>
      </c>
      <c r="T111" s="23">
        <v>0</v>
      </c>
      <c r="U111" s="23">
        <v>0</v>
      </c>
      <c r="V111" s="23">
        <v>0</v>
      </c>
      <c r="W111" s="23">
        <v>0</v>
      </c>
      <c r="X111" s="23">
        <v>1.0680000000000001</v>
      </c>
      <c r="Y111" s="23">
        <v>0</v>
      </c>
      <c r="Z111" s="23">
        <v>0</v>
      </c>
      <c r="AA111" s="23">
        <v>0</v>
      </c>
      <c r="AB111">
        <v>2.67</v>
      </c>
    </row>
    <row r="112" spans="2:28" ht="17" thickBot="1">
      <c r="B112" s="3" t="s">
        <v>45</v>
      </c>
      <c r="C112" s="9" t="s">
        <v>65</v>
      </c>
      <c r="D112">
        <v>2.67</v>
      </c>
      <c r="E112" t="s">
        <v>73</v>
      </c>
      <c r="F112" s="20">
        <v>0</v>
      </c>
      <c r="G112" s="20">
        <v>0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>
        <v>0</v>
      </c>
      <c r="N112" s="20">
        <v>0</v>
      </c>
      <c r="O112" s="20">
        <v>0</v>
      </c>
      <c r="P112" s="20">
        <v>4.2720000000000002</v>
      </c>
      <c r="Q112" s="20">
        <v>0</v>
      </c>
      <c r="R112" s="20"/>
      <c r="S112" s="20">
        <v>0</v>
      </c>
      <c r="T112" s="20">
        <v>0</v>
      </c>
      <c r="U112" s="20">
        <v>0</v>
      </c>
      <c r="V112" s="20">
        <v>0</v>
      </c>
      <c r="W112" s="20">
        <v>0</v>
      </c>
      <c r="X112" s="20">
        <v>0</v>
      </c>
      <c r="Y112" s="20">
        <v>0</v>
      </c>
      <c r="Z112" s="20">
        <v>0</v>
      </c>
      <c r="AA112" s="20">
        <v>0</v>
      </c>
      <c r="AB112">
        <v>2.67</v>
      </c>
    </row>
    <row r="113" spans="2:28" ht="17" thickBot="1">
      <c r="B113" s="3" t="s">
        <v>46</v>
      </c>
      <c r="C113" s="9" t="s">
        <v>65</v>
      </c>
      <c r="D113">
        <v>2.67</v>
      </c>
      <c r="E113" t="s">
        <v>73</v>
      </c>
      <c r="F113" s="23">
        <v>0</v>
      </c>
      <c r="G113" s="23">
        <v>0</v>
      </c>
      <c r="H113" s="23">
        <v>0</v>
      </c>
      <c r="I113" s="23">
        <v>0</v>
      </c>
      <c r="J113" s="23">
        <v>0</v>
      </c>
      <c r="K113" s="23">
        <v>0</v>
      </c>
      <c r="L113" s="23">
        <v>0</v>
      </c>
      <c r="M113" s="23">
        <v>1.0680000000000001</v>
      </c>
      <c r="N113" s="23">
        <v>0</v>
      </c>
      <c r="O113" s="23">
        <v>0</v>
      </c>
      <c r="P113" s="23">
        <v>0</v>
      </c>
      <c r="Q113" s="23">
        <v>0</v>
      </c>
      <c r="R113" s="23"/>
      <c r="S113" s="23">
        <v>0</v>
      </c>
      <c r="T113" s="23">
        <v>0</v>
      </c>
      <c r="U113" s="23">
        <v>0</v>
      </c>
      <c r="V113" s="23">
        <v>0</v>
      </c>
      <c r="W113" s="23">
        <v>0</v>
      </c>
      <c r="X113" s="23">
        <v>1.0680000000000001</v>
      </c>
      <c r="Y113" s="23">
        <v>0</v>
      </c>
      <c r="Z113" s="23">
        <v>0</v>
      </c>
      <c r="AA113" s="23">
        <v>0</v>
      </c>
      <c r="AB113">
        <v>2.67</v>
      </c>
    </row>
    <row r="114" spans="2:28" ht="17" thickBot="1">
      <c r="B114" s="3" t="s">
        <v>47</v>
      </c>
      <c r="C114" s="9" t="s">
        <v>65</v>
      </c>
      <c r="D114">
        <v>2.67</v>
      </c>
      <c r="E114" t="s">
        <v>73</v>
      </c>
      <c r="F114" s="23">
        <v>0</v>
      </c>
      <c r="G114" s="23">
        <v>0</v>
      </c>
      <c r="H114" s="23">
        <v>0</v>
      </c>
      <c r="I114" s="23">
        <v>0</v>
      </c>
      <c r="J114" s="23">
        <v>0</v>
      </c>
      <c r="K114" s="23">
        <v>0</v>
      </c>
      <c r="L114" s="23">
        <v>0</v>
      </c>
      <c r="M114" s="23">
        <v>0</v>
      </c>
      <c r="N114" s="23">
        <v>0</v>
      </c>
      <c r="O114" s="23">
        <v>0</v>
      </c>
      <c r="P114" s="23">
        <v>0</v>
      </c>
      <c r="Q114" s="23">
        <v>0</v>
      </c>
      <c r="R114" s="23"/>
      <c r="S114" s="23">
        <v>4.2720000000000002</v>
      </c>
      <c r="T114" s="23">
        <v>0</v>
      </c>
      <c r="U114" s="23">
        <v>0</v>
      </c>
      <c r="V114" s="23">
        <v>0</v>
      </c>
      <c r="W114" s="23">
        <v>0</v>
      </c>
      <c r="X114" s="23">
        <v>0</v>
      </c>
      <c r="Y114" s="23">
        <v>0</v>
      </c>
      <c r="Z114" s="23">
        <v>0</v>
      </c>
      <c r="AA114" s="23">
        <v>0</v>
      </c>
      <c r="AB114">
        <v>2.67</v>
      </c>
    </row>
    <row r="115" spans="2:28" ht="17" thickBot="1">
      <c r="B115" s="3" t="s">
        <v>48</v>
      </c>
      <c r="C115" s="9" t="s">
        <v>65</v>
      </c>
      <c r="D115">
        <v>2.67</v>
      </c>
      <c r="E115" t="s">
        <v>73</v>
      </c>
      <c r="F115" s="23">
        <v>0</v>
      </c>
      <c r="G115" s="23">
        <v>2.1360000000000001</v>
      </c>
      <c r="H115" s="23">
        <v>0</v>
      </c>
      <c r="I115" s="23">
        <v>0</v>
      </c>
      <c r="J115" s="23">
        <v>0</v>
      </c>
      <c r="K115" s="23">
        <v>0</v>
      </c>
      <c r="L115" s="23">
        <v>0</v>
      </c>
      <c r="M115" s="23">
        <v>0</v>
      </c>
      <c r="N115" s="23">
        <v>0</v>
      </c>
      <c r="O115" s="23">
        <v>0</v>
      </c>
      <c r="P115" s="23">
        <v>0</v>
      </c>
      <c r="Q115" s="23">
        <v>0</v>
      </c>
      <c r="R115" s="23"/>
      <c r="S115" s="23">
        <v>0</v>
      </c>
      <c r="T115" s="23">
        <v>0</v>
      </c>
      <c r="U115" s="23">
        <v>0</v>
      </c>
      <c r="V115" s="23">
        <v>2.1360000000000001</v>
      </c>
      <c r="W115" s="23">
        <v>0</v>
      </c>
      <c r="X115" s="23">
        <v>0</v>
      </c>
      <c r="Y115" s="23">
        <v>0</v>
      </c>
      <c r="Z115" s="23">
        <v>0</v>
      </c>
      <c r="AA115" s="23">
        <v>0</v>
      </c>
      <c r="AB115">
        <v>2.67</v>
      </c>
    </row>
    <row r="116" spans="2:28" ht="16" thickBot="1">
      <c r="B116" s="2" t="s">
        <v>49</v>
      </c>
      <c r="C116" s="10" t="s">
        <v>65</v>
      </c>
      <c r="D116">
        <v>2.29</v>
      </c>
      <c r="E116" t="s">
        <v>73</v>
      </c>
      <c r="F116" s="18">
        <v>0</v>
      </c>
      <c r="G116" s="18">
        <v>0</v>
      </c>
      <c r="H116" s="18">
        <v>0</v>
      </c>
      <c r="I116" s="18">
        <v>0</v>
      </c>
      <c r="J116" s="18">
        <v>0</v>
      </c>
      <c r="K116" s="18">
        <v>0</v>
      </c>
      <c r="L116" s="18">
        <v>0</v>
      </c>
      <c r="M116" s="18">
        <v>0</v>
      </c>
      <c r="N116" s="18">
        <v>2.0609999999999999</v>
      </c>
      <c r="O116" s="18">
        <v>0</v>
      </c>
      <c r="P116" s="18">
        <v>0</v>
      </c>
      <c r="Q116" s="18">
        <v>0</v>
      </c>
      <c r="R116" s="18"/>
      <c r="S116" s="18">
        <v>0</v>
      </c>
      <c r="T116" s="18">
        <v>0</v>
      </c>
      <c r="U116" s="18">
        <v>0</v>
      </c>
      <c r="V116" s="18">
        <v>0</v>
      </c>
      <c r="W116" s="18">
        <v>0</v>
      </c>
      <c r="X116" s="18">
        <v>0</v>
      </c>
      <c r="Y116" s="18">
        <v>0</v>
      </c>
      <c r="Z116" s="18">
        <v>0</v>
      </c>
      <c r="AA116" s="18">
        <v>0</v>
      </c>
      <c r="AB116">
        <v>57.25</v>
      </c>
    </row>
    <row r="117" spans="2:28" ht="17" thickBot="1">
      <c r="B117" s="3" t="s">
        <v>61</v>
      </c>
      <c r="C117" s="9" t="s">
        <v>65</v>
      </c>
      <c r="D117">
        <v>3.39</v>
      </c>
      <c r="E117" t="s">
        <v>73</v>
      </c>
      <c r="F117" s="20">
        <v>0</v>
      </c>
      <c r="G117" s="20">
        <v>2.3729999999999998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>
        <v>0</v>
      </c>
      <c r="N117" s="20">
        <v>0</v>
      </c>
      <c r="O117" s="20">
        <v>0</v>
      </c>
      <c r="P117" s="20">
        <v>0</v>
      </c>
      <c r="Q117" s="20">
        <v>0</v>
      </c>
      <c r="R117" s="20"/>
      <c r="S117" s="20">
        <v>0</v>
      </c>
      <c r="T117" s="20">
        <v>1.6950000000000001</v>
      </c>
      <c r="U117" s="20">
        <v>0</v>
      </c>
      <c r="V117" s="20">
        <v>2.7120000000000002</v>
      </c>
      <c r="W117" s="20">
        <v>0</v>
      </c>
      <c r="X117" s="20">
        <v>0</v>
      </c>
      <c r="Y117" s="20">
        <v>0</v>
      </c>
      <c r="Z117" s="20">
        <v>0</v>
      </c>
      <c r="AA117" s="20">
        <v>1.6950000000000001</v>
      </c>
      <c r="AB117">
        <v>3.39</v>
      </c>
    </row>
    <row r="118" spans="2:28" ht="17" thickBot="1">
      <c r="B118" s="3" t="s">
        <v>62</v>
      </c>
      <c r="C118" s="9" t="s">
        <v>65</v>
      </c>
      <c r="D118">
        <v>3.2</v>
      </c>
      <c r="E118" t="s">
        <v>73</v>
      </c>
      <c r="F118" s="23">
        <v>0</v>
      </c>
      <c r="G118" s="23">
        <v>0</v>
      </c>
      <c r="H118" s="23">
        <v>0</v>
      </c>
      <c r="I118" s="23">
        <v>0</v>
      </c>
      <c r="J118" s="23">
        <v>0</v>
      </c>
      <c r="K118" s="23">
        <v>0</v>
      </c>
      <c r="L118" s="23">
        <v>0</v>
      </c>
      <c r="M118" s="23">
        <v>0</v>
      </c>
      <c r="N118" s="23">
        <v>0</v>
      </c>
      <c r="O118" s="23">
        <v>3.84</v>
      </c>
      <c r="P118" s="23">
        <v>0</v>
      </c>
      <c r="Q118" s="23">
        <v>0</v>
      </c>
      <c r="R118" s="23"/>
      <c r="S118" s="23">
        <v>0</v>
      </c>
      <c r="T118" s="23">
        <v>0</v>
      </c>
      <c r="U118" s="23">
        <v>0</v>
      </c>
      <c r="V118" s="23">
        <v>0</v>
      </c>
      <c r="W118" s="23">
        <v>0</v>
      </c>
      <c r="X118" s="23">
        <v>0</v>
      </c>
      <c r="Y118" s="23">
        <v>0</v>
      </c>
      <c r="Z118" s="23">
        <v>0</v>
      </c>
      <c r="AA118" s="23">
        <v>0</v>
      </c>
      <c r="AB118">
        <v>3.2</v>
      </c>
    </row>
    <row r="119" spans="2:28" ht="17" thickBot="1">
      <c r="B119" s="3" t="s">
        <v>50</v>
      </c>
      <c r="C119" s="9" t="s">
        <v>69</v>
      </c>
      <c r="D119">
        <v>0.3</v>
      </c>
      <c r="E119" t="s">
        <v>73</v>
      </c>
      <c r="F119" s="23">
        <v>0</v>
      </c>
      <c r="G119" s="23">
        <v>0</v>
      </c>
      <c r="H119" s="23">
        <v>3</v>
      </c>
      <c r="I119" s="23">
        <v>0</v>
      </c>
      <c r="J119" s="23">
        <v>0</v>
      </c>
      <c r="K119" s="23">
        <v>0</v>
      </c>
      <c r="L119" s="23">
        <v>0</v>
      </c>
      <c r="M119" s="23">
        <v>0</v>
      </c>
      <c r="N119" s="23">
        <v>0</v>
      </c>
      <c r="O119" s="23">
        <v>0</v>
      </c>
      <c r="P119" s="23">
        <v>0</v>
      </c>
      <c r="Q119" s="23">
        <v>0</v>
      </c>
      <c r="R119" s="23"/>
      <c r="S119" s="23">
        <v>0</v>
      </c>
      <c r="T119" s="23">
        <v>0.15</v>
      </c>
      <c r="U119" s="23">
        <v>0</v>
      </c>
      <c r="V119" s="23">
        <v>0</v>
      </c>
      <c r="W119" s="23">
        <v>3</v>
      </c>
      <c r="X119" s="23">
        <v>0</v>
      </c>
      <c r="Y119" s="23">
        <v>0</v>
      </c>
      <c r="Z119" s="23">
        <v>0</v>
      </c>
      <c r="AA119" s="23">
        <v>0.15</v>
      </c>
      <c r="AB119">
        <v>4.2</v>
      </c>
    </row>
    <row r="120" spans="2:28" ht="17" thickBot="1">
      <c r="B120" s="3" t="s">
        <v>51</v>
      </c>
      <c r="C120" s="9" t="s">
        <v>69</v>
      </c>
      <c r="D120">
        <v>0.24</v>
      </c>
      <c r="E120" t="s">
        <v>73</v>
      </c>
      <c r="F120" s="20">
        <v>0</v>
      </c>
      <c r="G120" s="20">
        <v>0</v>
      </c>
      <c r="H120" s="20">
        <v>1.008</v>
      </c>
      <c r="I120" s="20">
        <v>0</v>
      </c>
      <c r="J120" s="20">
        <v>0</v>
      </c>
      <c r="K120" s="20">
        <v>0</v>
      </c>
      <c r="L120" s="20">
        <v>0</v>
      </c>
      <c r="M120" s="20">
        <v>0</v>
      </c>
      <c r="N120" s="20">
        <v>0</v>
      </c>
      <c r="O120" s="20">
        <v>0</v>
      </c>
      <c r="P120" s="20">
        <v>0</v>
      </c>
      <c r="Q120" s="20">
        <v>0</v>
      </c>
      <c r="R120" s="20"/>
      <c r="S120" s="20">
        <v>0</v>
      </c>
      <c r="T120" s="20">
        <v>0</v>
      </c>
      <c r="U120" s="20">
        <v>0</v>
      </c>
      <c r="V120" s="20">
        <v>0</v>
      </c>
      <c r="W120" s="20">
        <v>1.008</v>
      </c>
      <c r="X120" s="20">
        <v>0</v>
      </c>
      <c r="Y120" s="20">
        <v>0</v>
      </c>
      <c r="Z120" s="20">
        <v>0</v>
      </c>
      <c r="AA120" s="20">
        <v>0</v>
      </c>
      <c r="AB120">
        <v>3.84</v>
      </c>
    </row>
    <row r="121" spans="2:28" ht="16" thickBot="1">
      <c r="B121" s="2" t="s">
        <v>52</v>
      </c>
      <c r="C121" s="10" t="s">
        <v>68</v>
      </c>
      <c r="D121">
        <v>1</v>
      </c>
      <c r="E121" s="10" t="s">
        <v>68</v>
      </c>
      <c r="F121" s="18">
        <v>4</v>
      </c>
      <c r="G121" s="18">
        <v>4</v>
      </c>
      <c r="H121" s="18">
        <v>0</v>
      </c>
      <c r="I121" s="18">
        <v>5</v>
      </c>
      <c r="J121" s="18">
        <v>2</v>
      </c>
      <c r="K121" s="18">
        <v>0</v>
      </c>
      <c r="L121" s="18">
        <v>0</v>
      </c>
      <c r="M121" s="18">
        <v>4</v>
      </c>
      <c r="N121" s="18">
        <v>4</v>
      </c>
      <c r="O121" s="18">
        <v>4</v>
      </c>
      <c r="P121" s="18">
        <v>4</v>
      </c>
      <c r="Q121" s="18">
        <v>6</v>
      </c>
      <c r="R121" s="18"/>
      <c r="S121" s="18">
        <v>6</v>
      </c>
      <c r="T121" s="18">
        <v>2</v>
      </c>
      <c r="U121" s="18">
        <v>4</v>
      </c>
      <c r="V121" s="18">
        <v>4</v>
      </c>
      <c r="W121" s="18">
        <v>0</v>
      </c>
      <c r="X121" s="18">
        <v>4</v>
      </c>
      <c r="Y121" s="18">
        <v>6</v>
      </c>
      <c r="Z121" s="18">
        <v>0</v>
      </c>
      <c r="AA121" s="18">
        <v>2</v>
      </c>
      <c r="AB121">
        <v>96</v>
      </c>
    </row>
    <row r="122" spans="2:28" ht="16" thickBot="1">
      <c r="B122" s="2" t="s">
        <v>63</v>
      </c>
      <c r="C122" s="10" t="s">
        <v>68</v>
      </c>
      <c r="D122">
        <v>1</v>
      </c>
      <c r="E122" s="10" t="s">
        <v>68</v>
      </c>
      <c r="F122" s="18">
        <v>0</v>
      </c>
      <c r="G122" s="18">
        <v>0</v>
      </c>
      <c r="H122" s="18">
        <v>2</v>
      </c>
      <c r="I122" s="18">
        <v>0</v>
      </c>
      <c r="J122" s="18">
        <v>0</v>
      </c>
      <c r="K122" s="18">
        <v>0</v>
      </c>
      <c r="L122" s="18">
        <v>0</v>
      </c>
      <c r="M122" s="18">
        <v>0</v>
      </c>
      <c r="N122" s="18">
        <v>0</v>
      </c>
      <c r="O122" s="18">
        <v>0</v>
      </c>
      <c r="P122" s="18">
        <v>0</v>
      </c>
      <c r="Q122" s="18">
        <v>0</v>
      </c>
      <c r="R122" s="18"/>
      <c r="S122" s="18">
        <v>0</v>
      </c>
      <c r="T122" s="18">
        <v>0</v>
      </c>
      <c r="U122" s="18">
        <v>0</v>
      </c>
      <c r="V122" s="18">
        <v>0</v>
      </c>
      <c r="W122" s="18">
        <v>2</v>
      </c>
      <c r="X122" s="18">
        <v>0</v>
      </c>
      <c r="Y122" s="18">
        <v>0</v>
      </c>
      <c r="Z122" s="18">
        <v>0</v>
      </c>
      <c r="AA122" s="18">
        <v>0</v>
      </c>
      <c r="AB122">
        <v>48</v>
      </c>
    </row>
    <row r="123" spans="2:28" ht="16" thickBot="1">
      <c r="B123" s="2" t="s">
        <v>64</v>
      </c>
      <c r="C123" s="10" t="s">
        <v>68</v>
      </c>
      <c r="D123">
        <v>1</v>
      </c>
      <c r="E123" s="10" t="s">
        <v>68</v>
      </c>
      <c r="F123" s="18">
        <v>0</v>
      </c>
      <c r="G123" s="18">
        <v>0</v>
      </c>
      <c r="H123" s="18">
        <v>2</v>
      </c>
      <c r="I123" s="18">
        <v>0</v>
      </c>
      <c r="J123" s="18">
        <v>0</v>
      </c>
      <c r="K123" s="18">
        <v>0</v>
      </c>
      <c r="L123" s="18">
        <v>0</v>
      </c>
      <c r="M123" s="18">
        <v>0</v>
      </c>
      <c r="N123" s="18">
        <v>0</v>
      </c>
      <c r="O123" s="18">
        <v>0</v>
      </c>
      <c r="P123" s="18">
        <v>0</v>
      </c>
      <c r="Q123" s="18">
        <v>0</v>
      </c>
      <c r="R123" s="18"/>
      <c r="S123" s="18">
        <v>0</v>
      </c>
      <c r="T123" s="18">
        <v>0</v>
      </c>
      <c r="U123" s="18">
        <v>0</v>
      </c>
      <c r="V123" s="18">
        <v>0</v>
      </c>
      <c r="W123" s="18">
        <v>2</v>
      </c>
      <c r="X123" s="18">
        <v>0</v>
      </c>
      <c r="Y123" s="18">
        <v>0</v>
      </c>
      <c r="Z123" s="18">
        <v>0</v>
      </c>
      <c r="AA123" s="18">
        <v>0</v>
      </c>
      <c r="AB123">
        <v>6</v>
      </c>
    </row>
    <row r="124" spans="2:28" ht="17" thickBot="1">
      <c r="B124" s="3" t="s">
        <v>53</v>
      </c>
      <c r="C124" s="9" t="s">
        <v>82</v>
      </c>
      <c r="D124">
        <v>1</v>
      </c>
      <c r="E124" s="9" t="s">
        <v>82</v>
      </c>
      <c r="F124" s="23">
        <v>0</v>
      </c>
      <c r="G124" s="23">
        <v>0</v>
      </c>
      <c r="H124" s="23">
        <v>0</v>
      </c>
      <c r="I124" s="23">
        <v>0</v>
      </c>
      <c r="J124" s="23">
        <v>0</v>
      </c>
      <c r="K124" s="23">
        <v>0</v>
      </c>
      <c r="L124" s="23">
        <v>0</v>
      </c>
      <c r="M124" s="23">
        <v>0</v>
      </c>
      <c r="N124" s="23">
        <v>2</v>
      </c>
      <c r="O124" s="23">
        <v>0</v>
      </c>
      <c r="P124" s="23">
        <v>0</v>
      </c>
      <c r="Q124" s="23">
        <v>0</v>
      </c>
      <c r="R124" s="23"/>
      <c r="S124" s="23">
        <v>0</v>
      </c>
      <c r="T124" s="23">
        <v>0</v>
      </c>
      <c r="U124" s="23">
        <v>0</v>
      </c>
      <c r="V124" s="23">
        <v>0</v>
      </c>
      <c r="W124" s="23">
        <v>0</v>
      </c>
      <c r="X124" s="23">
        <v>0</v>
      </c>
      <c r="Y124" s="23">
        <v>0</v>
      </c>
      <c r="Z124" s="23">
        <v>0</v>
      </c>
      <c r="AA124" s="23">
        <v>0</v>
      </c>
      <c r="AB124">
        <v>1</v>
      </c>
    </row>
    <row r="125" spans="2:28" ht="16" thickBot="1">
      <c r="B125" s="2" t="s">
        <v>54</v>
      </c>
      <c r="C125" s="10" t="s">
        <v>69</v>
      </c>
      <c r="D125">
        <v>1</v>
      </c>
      <c r="E125" s="10" t="s">
        <v>69</v>
      </c>
      <c r="F125" s="18">
        <v>0</v>
      </c>
      <c r="G125" s="18">
        <v>0</v>
      </c>
      <c r="H125" s="18">
        <v>0</v>
      </c>
      <c r="I125" s="18">
        <v>0</v>
      </c>
      <c r="J125" s="18">
        <v>0</v>
      </c>
      <c r="K125" s="18">
        <v>0</v>
      </c>
      <c r="L125" s="18">
        <v>11</v>
      </c>
      <c r="M125" s="18">
        <v>0</v>
      </c>
      <c r="N125" s="18">
        <v>0</v>
      </c>
      <c r="O125" s="18">
        <v>0</v>
      </c>
      <c r="P125" s="18">
        <v>0</v>
      </c>
      <c r="Q125" s="18">
        <v>0</v>
      </c>
      <c r="R125" s="18"/>
      <c r="S125" s="18">
        <v>0</v>
      </c>
      <c r="T125" s="18">
        <v>0</v>
      </c>
      <c r="U125" s="18">
        <v>0</v>
      </c>
      <c r="V125" s="18">
        <v>0</v>
      </c>
      <c r="W125" s="18">
        <v>0</v>
      </c>
      <c r="X125" s="18">
        <v>0</v>
      </c>
      <c r="Y125" s="18">
        <v>0</v>
      </c>
      <c r="Z125" s="18">
        <v>11</v>
      </c>
      <c r="AA125" s="18">
        <v>0</v>
      </c>
      <c r="AB125">
        <v>32</v>
      </c>
    </row>
    <row r="126" spans="2:28" ht="16">
      <c r="B126" s="4" t="s">
        <v>55</v>
      </c>
      <c r="C126" s="9" t="s">
        <v>69</v>
      </c>
      <c r="D126">
        <v>0.2</v>
      </c>
      <c r="E126" t="s">
        <v>73</v>
      </c>
      <c r="F126" s="20">
        <v>0</v>
      </c>
      <c r="G126" s="20">
        <v>0</v>
      </c>
      <c r="H126" s="20">
        <v>0</v>
      </c>
      <c r="I126" s="20">
        <v>0</v>
      </c>
      <c r="J126" s="20">
        <v>0</v>
      </c>
      <c r="K126" s="20">
        <v>0</v>
      </c>
      <c r="L126" s="20">
        <v>0</v>
      </c>
      <c r="M126" s="20">
        <v>0</v>
      </c>
      <c r="N126" s="20">
        <v>0</v>
      </c>
      <c r="O126" s="20">
        <v>0</v>
      </c>
      <c r="P126" s="20">
        <v>0</v>
      </c>
      <c r="Q126" s="20">
        <v>0</v>
      </c>
      <c r="R126" s="20"/>
      <c r="S126" s="20">
        <v>0</v>
      </c>
      <c r="T126" s="20">
        <v>0.16000000000000003</v>
      </c>
      <c r="U126" s="20">
        <v>0</v>
      </c>
      <c r="V126" s="20">
        <v>0</v>
      </c>
      <c r="W126" s="20">
        <v>0</v>
      </c>
      <c r="X126" s="20">
        <v>0</v>
      </c>
      <c r="Y126" s="20">
        <v>0</v>
      </c>
      <c r="Z126" s="20">
        <v>0</v>
      </c>
      <c r="AA126" s="20">
        <v>0.16000000000000003</v>
      </c>
      <c r="AB126">
        <v>3.2</v>
      </c>
    </row>
    <row r="127" spans="2:28">
      <c r="B127" s="7" t="s">
        <v>71</v>
      </c>
      <c r="C127" s="11" t="s">
        <v>65</v>
      </c>
      <c r="D127">
        <v>16</v>
      </c>
      <c r="E127" t="s">
        <v>109</v>
      </c>
      <c r="F127" s="18">
        <v>0</v>
      </c>
      <c r="G127" s="18">
        <v>0</v>
      </c>
      <c r="H127" s="18">
        <v>0</v>
      </c>
      <c r="I127" s="18">
        <v>40</v>
      </c>
      <c r="J127" s="18">
        <v>0</v>
      </c>
      <c r="K127" s="18">
        <v>0</v>
      </c>
      <c r="L127" s="18">
        <v>0</v>
      </c>
      <c r="M127" s="18">
        <v>0</v>
      </c>
      <c r="N127" s="18">
        <v>0</v>
      </c>
      <c r="O127" s="18">
        <v>0</v>
      </c>
      <c r="P127" s="18">
        <v>0</v>
      </c>
      <c r="Q127" s="18">
        <v>0</v>
      </c>
      <c r="R127" s="18"/>
      <c r="S127" s="18">
        <v>0</v>
      </c>
      <c r="T127" s="18">
        <v>0</v>
      </c>
      <c r="U127" s="18">
        <v>0</v>
      </c>
      <c r="V127" s="18">
        <v>0</v>
      </c>
      <c r="W127" s="18">
        <v>0</v>
      </c>
      <c r="X127" s="18">
        <v>0</v>
      </c>
      <c r="Y127" s="18">
        <v>0</v>
      </c>
      <c r="Z127" s="18">
        <v>0</v>
      </c>
      <c r="AA127" s="18">
        <v>0</v>
      </c>
      <c r="AB127">
        <v>32</v>
      </c>
    </row>
    <row r="128" spans="2:28" ht="16">
      <c r="B128" s="6" t="s">
        <v>72</v>
      </c>
      <c r="C128" s="12" t="s">
        <v>73</v>
      </c>
      <c r="D128">
        <v>1</v>
      </c>
      <c r="E128" s="12" t="s">
        <v>73</v>
      </c>
      <c r="F128" s="18">
        <v>0</v>
      </c>
      <c r="G128" s="18">
        <v>0</v>
      </c>
      <c r="H128" s="18">
        <v>0</v>
      </c>
      <c r="I128" s="18">
        <v>0.5</v>
      </c>
      <c r="J128" s="18">
        <v>0</v>
      </c>
      <c r="K128" s="18">
        <v>0</v>
      </c>
      <c r="L128" s="18">
        <v>0</v>
      </c>
      <c r="M128" s="18">
        <v>0</v>
      </c>
      <c r="N128" s="18">
        <v>0</v>
      </c>
      <c r="O128" s="18">
        <v>0</v>
      </c>
      <c r="P128" s="18">
        <v>0</v>
      </c>
      <c r="Q128" s="18">
        <v>0</v>
      </c>
      <c r="R128" s="18"/>
      <c r="S128" s="18">
        <v>0</v>
      </c>
      <c r="T128" s="18">
        <v>0</v>
      </c>
      <c r="U128" s="18">
        <v>0</v>
      </c>
      <c r="V128" s="18">
        <v>0</v>
      </c>
      <c r="W128" s="18">
        <v>0</v>
      </c>
      <c r="X128" s="18">
        <v>0</v>
      </c>
      <c r="Y128" s="18">
        <v>0</v>
      </c>
      <c r="Z128" s="18">
        <v>0</v>
      </c>
      <c r="AA128" s="18">
        <v>0</v>
      </c>
      <c r="AB128">
        <v>8</v>
      </c>
    </row>
    <row r="129" spans="2:28">
      <c r="B129" s="5" t="s">
        <v>74</v>
      </c>
      <c r="C129" s="11" t="s">
        <v>65</v>
      </c>
      <c r="D129">
        <v>16</v>
      </c>
      <c r="E129" t="s">
        <v>109</v>
      </c>
      <c r="F129" s="18">
        <v>0</v>
      </c>
      <c r="G129" s="18">
        <v>0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/>
      <c r="S129" s="18">
        <v>0</v>
      </c>
      <c r="T129" s="18">
        <v>0</v>
      </c>
      <c r="U129" s="18">
        <v>0</v>
      </c>
      <c r="V129" s="18">
        <v>0</v>
      </c>
      <c r="W129" s="18">
        <v>0</v>
      </c>
      <c r="X129" s="18">
        <v>22.4</v>
      </c>
      <c r="Y129" s="18">
        <v>0</v>
      </c>
      <c r="Z129" s="18">
        <v>0</v>
      </c>
      <c r="AA129" s="18">
        <v>0</v>
      </c>
      <c r="AB129">
        <v>320</v>
      </c>
    </row>
    <row r="131" spans="2:28" ht="16">
      <c r="C131" t="s">
        <v>111</v>
      </c>
      <c r="D131" t="s">
        <v>112</v>
      </c>
      <c r="E131" t="s">
        <v>113</v>
      </c>
      <c r="F131" s="13" t="s">
        <v>0</v>
      </c>
      <c r="G131" s="13" t="s">
        <v>5</v>
      </c>
      <c r="H131" s="13" t="s">
        <v>6</v>
      </c>
      <c r="I131" s="13" t="s">
        <v>7</v>
      </c>
      <c r="J131" s="13" t="s">
        <v>8</v>
      </c>
      <c r="K131" s="13" t="s">
        <v>3</v>
      </c>
      <c r="L131" s="13" t="s">
        <v>9</v>
      </c>
      <c r="M131" s="14" t="s">
        <v>10</v>
      </c>
      <c r="N131" s="14" t="s">
        <v>75</v>
      </c>
      <c r="O131" s="13" t="s">
        <v>1</v>
      </c>
      <c r="P131" s="13" t="s">
        <v>12</v>
      </c>
      <c r="Q131" s="13" t="s">
        <v>13</v>
      </c>
      <c r="R131" s="13"/>
      <c r="S131" s="13" t="s">
        <v>14</v>
      </c>
      <c r="T131" s="13" t="s">
        <v>15</v>
      </c>
      <c r="U131" s="15" t="s">
        <v>17</v>
      </c>
      <c r="V131" s="16" t="s">
        <v>18</v>
      </c>
      <c r="W131" s="16" t="s">
        <v>19</v>
      </c>
      <c r="X131" s="15" t="s">
        <v>24</v>
      </c>
      <c r="Y131" s="15" t="s">
        <v>20</v>
      </c>
      <c r="Z131" s="15" t="s">
        <v>21</v>
      </c>
      <c r="AA131" s="17" t="s">
        <v>22</v>
      </c>
    </row>
    <row r="132" spans="2:28" ht="17" thickBot="1">
      <c r="B132" s="2" t="s">
        <v>27</v>
      </c>
      <c r="C132" t="s">
        <v>109</v>
      </c>
      <c r="D132">
        <f>1/D90</f>
        <v>6.25E-2</v>
      </c>
      <c r="E132" s="10" t="s">
        <v>65</v>
      </c>
      <c r="F132" s="18">
        <v>3.1</v>
      </c>
      <c r="G132" s="18">
        <v>2.9</v>
      </c>
      <c r="H132" s="18">
        <v>2.9</v>
      </c>
      <c r="I132" s="18">
        <v>3.8</v>
      </c>
      <c r="J132" s="18">
        <v>3.3</v>
      </c>
      <c r="K132" s="18">
        <v>3.6</v>
      </c>
      <c r="L132" s="18">
        <v>3.3</v>
      </c>
      <c r="M132" s="18">
        <v>2</v>
      </c>
      <c r="N132" s="18">
        <v>2.5</v>
      </c>
      <c r="O132" s="18">
        <v>2</v>
      </c>
      <c r="P132" s="18">
        <v>2</v>
      </c>
      <c r="Q132" s="18">
        <v>3</v>
      </c>
      <c r="R132" s="18"/>
      <c r="S132" s="18">
        <v>3</v>
      </c>
      <c r="T132" s="18">
        <v>0</v>
      </c>
      <c r="U132" s="18">
        <v>0</v>
      </c>
      <c r="V132" s="18">
        <v>0</v>
      </c>
      <c r="W132" s="18">
        <v>0</v>
      </c>
      <c r="X132" s="18">
        <v>0</v>
      </c>
      <c r="Y132" s="18">
        <v>0</v>
      </c>
      <c r="Z132" s="18">
        <v>0</v>
      </c>
      <c r="AA132" s="18">
        <v>0</v>
      </c>
      <c r="AB132" s="25">
        <v>50</v>
      </c>
    </row>
    <row r="133" spans="2:28" ht="17" thickBot="1">
      <c r="B133" s="2" t="s">
        <v>28</v>
      </c>
      <c r="C133" t="s">
        <v>73</v>
      </c>
      <c r="D133">
        <f t="shared" ref="D133:D171" si="3">1/D91</f>
        <v>8</v>
      </c>
      <c r="E133" s="10" t="s">
        <v>66</v>
      </c>
      <c r="F133" s="18">
        <v>0</v>
      </c>
      <c r="G133" s="18">
        <v>0</v>
      </c>
      <c r="H133" s="18">
        <v>0</v>
      </c>
      <c r="I133" s="18">
        <v>0</v>
      </c>
      <c r="J133" s="18">
        <v>0</v>
      </c>
      <c r="K133" s="18">
        <v>0</v>
      </c>
      <c r="L133" s="18">
        <v>0</v>
      </c>
      <c r="M133" s="18">
        <v>0</v>
      </c>
      <c r="N133" s="18">
        <v>0</v>
      </c>
      <c r="O133" s="18">
        <v>0</v>
      </c>
      <c r="P133" s="18">
        <v>0</v>
      </c>
      <c r="Q133" s="18">
        <v>0</v>
      </c>
      <c r="R133" s="18"/>
      <c r="S133" s="18">
        <v>0</v>
      </c>
      <c r="T133" s="18">
        <v>0</v>
      </c>
      <c r="U133" s="18">
        <v>8</v>
      </c>
      <c r="V133" s="18">
        <v>8</v>
      </c>
      <c r="W133" s="18">
        <v>8</v>
      </c>
      <c r="X133" s="18">
        <v>8</v>
      </c>
      <c r="Y133" s="18">
        <v>8</v>
      </c>
      <c r="Z133" s="18">
        <v>0</v>
      </c>
      <c r="AA133" s="18">
        <v>0</v>
      </c>
      <c r="AB133" s="25">
        <v>48</v>
      </c>
    </row>
    <row r="134" spans="2:28" ht="17" thickBot="1">
      <c r="B134" s="2" t="s">
        <v>29</v>
      </c>
      <c r="C134" t="s">
        <v>109</v>
      </c>
      <c r="D134">
        <f t="shared" si="3"/>
        <v>0.25</v>
      </c>
      <c r="E134" s="10" t="s">
        <v>67</v>
      </c>
      <c r="F134" s="18">
        <v>6</v>
      </c>
      <c r="G134" s="18">
        <v>6</v>
      </c>
      <c r="H134" s="18">
        <v>6</v>
      </c>
      <c r="I134" s="18">
        <v>10</v>
      </c>
      <c r="J134" s="18">
        <v>6</v>
      </c>
      <c r="K134" s="18">
        <v>6</v>
      </c>
      <c r="L134" s="18">
        <v>6</v>
      </c>
      <c r="M134" s="18">
        <v>6</v>
      </c>
      <c r="N134" s="18">
        <v>6</v>
      </c>
      <c r="O134" s="18">
        <v>6</v>
      </c>
      <c r="P134" s="18">
        <v>6</v>
      </c>
      <c r="Q134" s="18">
        <v>6</v>
      </c>
      <c r="R134" s="18"/>
      <c r="S134" s="18">
        <v>6</v>
      </c>
      <c r="T134" s="18">
        <v>4</v>
      </c>
      <c r="U134" s="18">
        <v>4</v>
      </c>
      <c r="V134" s="18">
        <v>4</v>
      </c>
      <c r="W134" s="18">
        <v>4</v>
      </c>
      <c r="X134" s="18">
        <v>4</v>
      </c>
      <c r="Y134" s="18">
        <v>4</v>
      </c>
      <c r="Z134" s="18">
        <v>6</v>
      </c>
      <c r="AA134" s="18">
        <v>4</v>
      </c>
      <c r="AB134" s="25">
        <v>30</v>
      </c>
    </row>
    <row r="135" spans="2:28" ht="17" thickBot="1">
      <c r="B135" s="3" t="s">
        <v>30</v>
      </c>
      <c r="C135" t="s">
        <v>109</v>
      </c>
      <c r="D135">
        <f t="shared" si="3"/>
        <v>6.25E-2</v>
      </c>
      <c r="E135" s="9" t="s">
        <v>65</v>
      </c>
      <c r="F135" s="19">
        <v>0</v>
      </c>
      <c r="G135" s="19">
        <v>0</v>
      </c>
      <c r="H135" s="19">
        <v>0</v>
      </c>
      <c r="I135" s="19">
        <v>0</v>
      </c>
      <c r="J135" s="19">
        <v>0</v>
      </c>
      <c r="K135" s="19">
        <v>0</v>
      </c>
      <c r="L135" s="19">
        <v>0</v>
      </c>
      <c r="M135" s="19">
        <v>0</v>
      </c>
      <c r="N135" s="19">
        <v>0</v>
      </c>
      <c r="O135" s="19">
        <v>0</v>
      </c>
      <c r="P135" s="19">
        <v>0</v>
      </c>
      <c r="Q135" s="19">
        <v>0.4</v>
      </c>
      <c r="R135" s="19"/>
      <c r="S135" s="19">
        <v>0.4</v>
      </c>
      <c r="T135" s="19">
        <v>0</v>
      </c>
      <c r="U135" s="19">
        <v>0</v>
      </c>
      <c r="V135" s="19">
        <v>0</v>
      </c>
      <c r="W135" s="19">
        <v>0</v>
      </c>
      <c r="X135" s="19">
        <v>0</v>
      </c>
      <c r="Y135" s="19">
        <v>0.4</v>
      </c>
      <c r="Z135" s="19">
        <v>0</v>
      </c>
      <c r="AA135" s="19">
        <v>0</v>
      </c>
      <c r="AB135" s="25">
        <v>1</v>
      </c>
    </row>
    <row r="136" spans="2:28" ht="17" thickBot="1">
      <c r="B136" s="2" t="s">
        <v>57</v>
      </c>
      <c r="C136" s="10" t="s">
        <v>68</v>
      </c>
      <c r="D136">
        <f t="shared" si="3"/>
        <v>1</v>
      </c>
      <c r="E136" s="10" t="s">
        <v>68</v>
      </c>
      <c r="F136" s="18">
        <v>3</v>
      </c>
      <c r="G136" s="18">
        <v>3</v>
      </c>
      <c r="H136" s="18">
        <v>3</v>
      </c>
      <c r="I136" s="18">
        <v>0</v>
      </c>
      <c r="J136" s="18">
        <v>3</v>
      </c>
      <c r="K136" s="18">
        <v>7.5</v>
      </c>
      <c r="L136" s="18">
        <v>3</v>
      </c>
      <c r="M136" s="18">
        <v>3</v>
      </c>
      <c r="N136" s="18">
        <v>3</v>
      </c>
      <c r="O136" s="18">
        <v>3</v>
      </c>
      <c r="P136" s="18">
        <v>3</v>
      </c>
      <c r="Q136" s="18">
        <v>3</v>
      </c>
      <c r="R136" s="18"/>
      <c r="S136" s="18">
        <v>3</v>
      </c>
      <c r="T136" s="18">
        <v>8</v>
      </c>
      <c r="U136" s="18">
        <v>2.5</v>
      </c>
      <c r="V136" s="18">
        <v>2.5</v>
      </c>
      <c r="W136" s="18">
        <v>2.5</v>
      </c>
      <c r="X136" s="18">
        <v>2.5</v>
      </c>
      <c r="Y136" s="18">
        <v>2.5</v>
      </c>
      <c r="Z136" s="18">
        <v>3</v>
      </c>
      <c r="AA136" s="18">
        <v>8</v>
      </c>
      <c r="AB136" s="25">
        <v>80</v>
      </c>
    </row>
    <row r="137" spans="2:28" ht="17" thickBot="1">
      <c r="B137" s="2" t="s">
        <v>58</v>
      </c>
      <c r="C137" s="10" t="s">
        <v>68</v>
      </c>
      <c r="D137">
        <f t="shared" si="3"/>
        <v>1</v>
      </c>
      <c r="E137" s="10" t="s">
        <v>68</v>
      </c>
      <c r="F137" s="18">
        <v>0</v>
      </c>
      <c r="G137" s="18">
        <v>0</v>
      </c>
      <c r="H137" s="18">
        <v>0</v>
      </c>
      <c r="I137" s="18">
        <v>2</v>
      </c>
      <c r="J137" s="18">
        <v>0</v>
      </c>
      <c r="K137" s="20">
        <v>0</v>
      </c>
      <c r="L137" s="18">
        <v>0</v>
      </c>
      <c r="M137" s="18">
        <v>0</v>
      </c>
      <c r="N137" s="18">
        <v>0</v>
      </c>
      <c r="O137" s="18">
        <v>0</v>
      </c>
      <c r="P137" s="18">
        <v>0</v>
      </c>
      <c r="Q137" s="18">
        <v>0</v>
      </c>
      <c r="R137" s="18"/>
      <c r="S137" s="18">
        <v>0</v>
      </c>
      <c r="T137" s="18">
        <v>0</v>
      </c>
      <c r="U137" s="18">
        <v>0.5</v>
      </c>
      <c r="V137" s="18">
        <v>0.5</v>
      </c>
      <c r="W137" s="18">
        <v>0.5</v>
      </c>
      <c r="X137" s="18">
        <v>0.5</v>
      </c>
      <c r="Y137" s="18">
        <v>0.5</v>
      </c>
      <c r="Z137" s="18">
        <v>0.5</v>
      </c>
      <c r="AA137" s="18">
        <v>0</v>
      </c>
      <c r="AB137" s="25">
        <v>47</v>
      </c>
    </row>
    <row r="138" spans="2:28" ht="17" thickBot="1">
      <c r="B138" s="2" t="s">
        <v>31</v>
      </c>
      <c r="C138" s="10" t="s">
        <v>68</v>
      </c>
      <c r="D138">
        <f t="shared" si="3"/>
        <v>1</v>
      </c>
      <c r="E138" s="10" t="s">
        <v>68</v>
      </c>
      <c r="F138" s="18">
        <v>4</v>
      </c>
      <c r="G138" s="18">
        <v>4</v>
      </c>
      <c r="H138" s="18">
        <v>4</v>
      </c>
      <c r="I138" s="18">
        <v>4</v>
      </c>
      <c r="J138" s="18">
        <v>4</v>
      </c>
      <c r="K138" s="18">
        <v>5</v>
      </c>
      <c r="L138" s="18">
        <v>4</v>
      </c>
      <c r="M138" s="18">
        <v>4</v>
      </c>
      <c r="N138" s="18">
        <v>5</v>
      </c>
      <c r="O138" s="18">
        <v>4</v>
      </c>
      <c r="P138" s="18">
        <v>4</v>
      </c>
      <c r="Q138" s="18">
        <v>4</v>
      </c>
      <c r="R138" s="18"/>
      <c r="S138" s="18">
        <v>4</v>
      </c>
      <c r="T138" s="18">
        <v>5</v>
      </c>
      <c r="U138" s="18">
        <v>5</v>
      </c>
      <c r="V138" s="18">
        <v>5</v>
      </c>
      <c r="W138" s="18">
        <v>5</v>
      </c>
      <c r="X138" s="18">
        <v>5</v>
      </c>
      <c r="Y138" s="18">
        <v>5</v>
      </c>
      <c r="Z138" s="18">
        <v>4</v>
      </c>
      <c r="AA138" s="18">
        <v>5</v>
      </c>
      <c r="AB138" s="25">
        <v>130</v>
      </c>
    </row>
    <row r="139" spans="2:28" ht="17" thickBot="1">
      <c r="B139" s="3" t="s">
        <v>32</v>
      </c>
      <c r="C139" s="9" t="s">
        <v>82</v>
      </c>
      <c r="D139">
        <f t="shared" si="3"/>
        <v>1</v>
      </c>
      <c r="E139" s="9" t="s">
        <v>82</v>
      </c>
      <c r="F139" s="21">
        <v>4</v>
      </c>
      <c r="G139" s="21">
        <v>4</v>
      </c>
      <c r="H139" s="21">
        <v>4</v>
      </c>
      <c r="I139" s="21">
        <v>4</v>
      </c>
      <c r="J139" s="21">
        <v>4</v>
      </c>
      <c r="K139" s="21">
        <v>6</v>
      </c>
      <c r="L139" s="20">
        <v>2</v>
      </c>
      <c r="M139" s="21">
        <v>4</v>
      </c>
      <c r="N139" s="21">
        <v>4</v>
      </c>
      <c r="O139" s="21">
        <v>4</v>
      </c>
      <c r="P139" s="21">
        <v>4</v>
      </c>
      <c r="Q139" s="20">
        <v>6</v>
      </c>
      <c r="R139" s="20"/>
      <c r="S139" s="20">
        <v>6</v>
      </c>
      <c r="T139" s="20">
        <v>10</v>
      </c>
      <c r="U139" s="20">
        <v>4</v>
      </c>
      <c r="V139" s="20">
        <v>4</v>
      </c>
      <c r="W139" s="20">
        <v>4</v>
      </c>
      <c r="X139" s="20">
        <v>4</v>
      </c>
      <c r="Y139" s="20">
        <v>6</v>
      </c>
      <c r="Z139" s="20">
        <v>2</v>
      </c>
      <c r="AA139" s="20">
        <v>10</v>
      </c>
      <c r="AB139" s="25">
        <v>60</v>
      </c>
    </row>
    <row r="140" spans="2:28" ht="17" thickBot="1">
      <c r="B140" s="3" t="s">
        <v>33</v>
      </c>
      <c r="C140" t="s">
        <v>109</v>
      </c>
      <c r="D140">
        <f t="shared" si="3"/>
        <v>6.25E-2</v>
      </c>
      <c r="E140" s="9" t="s">
        <v>65</v>
      </c>
      <c r="F140" s="19">
        <v>1.2</v>
      </c>
      <c r="G140" s="19">
        <v>1.2</v>
      </c>
      <c r="H140" s="19">
        <v>1.2</v>
      </c>
      <c r="I140" s="19">
        <v>0</v>
      </c>
      <c r="J140" s="19">
        <v>0</v>
      </c>
      <c r="K140" s="19">
        <v>1.8</v>
      </c>
      <c r="L140" s="19">
        <v>1</v>
      </c>
      <c r="M140" s="19">
        <v>1.2</v>
      </c>
      <c r="N140" s="19">
        <v>1.2</v>
      </c>
      <c r="O140" s="19">
        <v>1.2</v>
      </c>
      <c r="P140" s="19">
        <v>1.2</v>
      </c>
      <c r="Q140" s="19">
        <v>1.4</v>
      </c>
      <c r="R140" s="19"/>
      <c r="S140" s="19">
        <v>1.4</v>
      </c>
      <c r="T140" s="19">
        <v>3</v>
      </c>
      <c r="U140" s="19">
        <v>1.4</v>
      </c>
      <c r="V140" s="19">
        <v>1.4</v>
      </c>
      <c r="W140" s="19">
        <v>1.4</v>
      </c>
      <c r="X140" s="19">
        <v>1.4</v>
      </c>
      <c r="Y140" s="19">
        <v>1.4</v>
      </c>
      <c r="Z140" s="19">
        <v>0.8</v>
      </c>
      <c r="AA140" s="19">
        <v>3</v>
      </c>
      <c r="AB140" s="25">
        <v>50</v>
      </c>
    </row>
    <row r="141" spans="2:28" ht="17" thickBot="1">
      <c r="B141" s="3" t="s">
        <v>34</v>
      </c>
      <c r="C141" t="s">
        <v>109</v>
      </c>
      <c r="D141">
        <f t="shared" si="3"/>
        <v>6.25E-2</v>
      </c>
      <c r="E141" s="9" t="s">
        <v>65</v>
      </c>
      <c r="F141" s="19">
        <v>1.2</v>
      </c>
      <c r="G141" s="19">
        <v>1.2</v>
      </c>
      <c r="H141" s="19">
        <v>1.2</v>
      </c>
      <c r="I141" s="19">
        <v>2.7</v>
      </c>
      <c r="J141" s="19">
        <v>2</v>
      </c>
      <c r="K141" s="19">
        <v>1.7</v>
      </c>
      <c r="L141" s="19">
        <v>1</v>
      </c>
      <c r="M141" s="19">
        <v>1.2</v>
      </c>
      <c r="N141" s="19">
        <v>1.2</v>
      </c>
      <c r="O141" s="19">
        <v>1.2</v>
      </c>
      <c r="P141" s="19">
        <v>1.2</v>
      </c>
      <c r="Q141" s="19">
        <v>1.4</v>
      </c>
      <c r="R141" s="19"/>
      <c r="S141" s="19">
        <v>1.4</v>
      </c>
      <c r="T141" s="19">
        <v>0</v>
      </c>
      <c r="U141" s="19">
        <v>1.2</v>
      </c>
      <c r="V141" s="19">
        <v>1.2</v>
      </c>
      <c r="W141" s="19">
        <v>1.2</v>
      </c>
      <c r="X141" s="19">
        <v>1.2</v>
      </c>
      <c r="Y141" s="19">
        <v>1.4</v>
      </c>
      <c r="Z141" s="19">
        <v>0.9</v>
      </c>
      <c r="AA141" s="19">
        <v>0</v>
      </c>
      <c r="AB141" s="25">
        <v>50</v>
      </c>
    </row>
    <row r="142" spans="2:28" ht="17" thickBot="1">
      <c r="B142" s="3" t="s">
        <v>59</v>
      </c>
      <c r="C142" t="s">
        <v>110</v>
      </c>
      <c r="D142">
        <f t="shared" si="3"/>
        <v>0.12004801920768307</v>
      </c>
      <c r="E142" s="9" t="s">
        <v>69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  <c r="P142" s="20">
        <v>0</v>
      </c>
      <c r="Q142" s="20">
        <v>0</v>
      </c>
      <c r="R142" s="20"/>
      <c r="S142" s="20">
        <v>0</v>
      </c>
      <c r="T142" s="20">
        <v>0</v>
      </c>
      <c r="U142" s="20">
        <v>1</v>
      </c>
      <c r="V142" s="20">
        <v>1</v>
      </c>
      <c r="W142" s="20">
        <v>1</v>
      </c>
      <c r="X142" s="20">
        <v>1</v>
      </c>
      <c r="Y142" s="20">
        <v>1</v>
      </c>
      <c r="Z142" s="20">
        <v>1</v>
      </c>
      <c r="AA142" s="20">
        <v>0</v>
      </c>
      <c r="AB142" s="25">
        <v>16</v>
      </c>
    </row>
    <row r="143" spans="2:28" ht="17" thickBot="1">
      <c r="B143" s="3" t="s">
        <v>35</v>
      </c>
      <c r="C143" t="s">
        <v>73</v>
      </c>
      <c r="D143">
        <f t="shared" si="3"/>
        <v>4.166666666666667</v>
      </c>
      <c r="E143" s="9" t="s">
        <v>69</v>
      </c>
      <c r="F143" s="19">
        <v>0</v>
      </c>
      <c r="G143" s="19">
        <v>0</v>
      </c>
      <c r="H143" s="19">
        <v>0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/>
      <c r="S143" s="19">
        <v>0</v>
      </c>
      <c r="T143" s="19">
        <v>0</v>
      </c>
      <c r="U143" s="19">
        <v>2.3199999999999998</v>
      </c>
      <c r="V143" s="19">
        <v>2.3199999999999998</v>
      </c>
      <c r="W143" s="19">
        <v>2.3199999999999998</v>
      </c>
      <c r="X143" s="19">
        <v>2.3199999999999998</v>
      </c>
      <c r="Y143" s="19">
        <v>2.3199999999999998</v>
      </c>
      <c r="Z143" s="19">
        <v>2.3199999999999998</v>
      </c>
      <c r="AA143" s="19">
        <v>0</v>
      </c>
      <c r="AB143" s="25">
        <v>400</v>
      </c>
    </row>
    <row r="144" spans="2:28" ht="17" thickBot="1">
      <c r="B144" s="3" t="s">
        <v>36</v>
      </c>
      <c r="C144" t="s">
        <v>73</v>
      </c>
      <c r="D144">
        <f t="shared" si="3"/>
        <v>3.3333333333333335</v>
      </c>
      <c r="E144" s="9" t="s">
        <v>69</v>
      </c>
      <c r="F144" s="19">
        <v>0</v>
      </c>
      <c r="G144" s="19">
        <v>0</v>
      </c>
      <c r="H144" s="19">
        <v>0</v>
      </c>
      <c r="I144" s="19">
        <v>0</v>
      </c>
      <c r="J144" s="19">
        <v>0</v>
      </c>
      <c r="K144" s="19">
        <v>0</v>
      </c>
      <c r="L144" s="19">
        <v>0</v>
      </c>
      <c r="M144" s="19">
        <v>0</v>
      </c>
      <c r="N144" s="19">
        <v>0</v>
      </c>
      <c r="O144" s="19">
        <v>0</v>
      </c>
      <c r="P144" s="19">
        <v>0</v>
      </c>
      <c r="Q144" s="19">
        <v>0</v>
      </c>
      <c r="R144" s="19"/>
      <c r="S144" s="19">
        <v>0</v>
      </c>
      <c r="T144" s="19">
        <v>0</v>
      </c>
      <c r="U144" s="19">
        <v>3.64</v>
      </c>
      <c r="V144" s="19">
        <v>3.64</v>
      </c>
      <c r="W144" s="19">
        <v>3.64</v>
      </c>
      <c r="X144" s="19">
        <v>3.64</v>
      </c>
      <c r="Y144" s="19">
        <v>3.64</v>
      </c>
      <c r="Z144" s="19">
        <v>3.64</v>
      </c>
      <c r="AA144" s="19">
        <v>0</v>
      </c>
      <c r="AB144" s="25">
        <v>400</v>
      </c>
    </row>
    <row r="145" spans="2:28" ht="17" thickBot="1">
      <c r="B145" s="3" t="s">
        <v>37</v>
      </c>
      <c r="C145" t="s">
        <v>109</v>
      </c>
      <c r="D145">
        <f t="shared" si="3"/>
        <v>6.25E-2</v>
      </c>
      <c r="E145" s="9" t="s">
        <v>65</v>
      </c>
      <c r="F145" s="22">
        <v>0</v>
      </c>
      <c r="G145" s="22">
        <v>0</v>
      </c>
      <c r="H145" s="22">
        <v>0</v>
      </c>
      <c r="I145" s="22">
        <v>0</v>
      </c>
      <c r="J145" s="22">
        <v>0</v>
      </c>
      <c r="K145" s="22">
        <v>0</v>
      </c>
      <c r="L145" s="22">
        <v>0</v>
      </c>
      <c r="M145" s="22">
        <v>0</v>
      </c>
      <c r="N145" s="22">
        <v>0</v>
      </c>
      <c r="O145" s="22">
        <v>0</v>
      </c>
      <c r="P145" s="22">
        <v>0</v>
      </c>
      <c r="Q145" s="22">
        <v>0</v>
      </c>
      <c r="R145" s="22"/>
      <c r="S145" s="22">
        <v>0</v>
      </c>
      <c r="T145" s="22">
        <v>0</v>
      </c>
      <c r="U145" s="20">
        <v>2.6</v>
      </c>
      <c r="V145" s="20">
        <v>2.6</v>
      </c>
      <c r="W145" s="20">
        <v>2.6</v>
      </c>
      <c r="X145" s="20">
        <v>2.6</v>
      </c>
      <c r="Y145" s="20">
        <v>2.6</v>
      </c>
      <c r="Z145" s="20">
        <v>3</v>
      </c>
      <c r="AA145" s="20">
        <v>0</v>
      </c>
      <c r="AB145" s="26">
        <v>50</v>
      </c>
    </row>
    <row r="146" spans="2:28" ht="17" thickBot="1">
      <c r="B146" s="3" t="s">
        <v>38</v>
      </c>
      <c r="C146" s="9" t="s">
        <v>69</v>
      </c>
      <c r="D146">
        <f t="shared" si="3"/>
        <v>1</v>
      </c>
      <c r="E146" s="9" t="s">
        <v>69</v>
      </c>
      <c r="F146" s="19">
        <v>0</v>
      </c>
      <c r="G146" s="19">
        <v>0</v>
      </c>
      <c r="H146" s="19">
        <v>0</v>
      </c>
      <c r="I146" s="19">
        <v>0</v>
      </c>
      <c r="J146" s="19">
        <v>0</v>
      </c>
      <c r="K146" s="19">
        <v>27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/>
      <c r="S146" s="19">
        <v>0</v>
      </c>
      <c r="T146" s="19">
        <v>53</v>
      </c>
      <c r="U146" s="19">
        <v>0</v>
      </c>
      <c r="V146" s="19">
        <v>0</v>
      </c>
      <c r="W146" s="19">
        <v>0</v>
      </c>
      <c r="X146" s="19">
        <v>0</v>
      </c>
      <c r="Y146" s="19">
        <v>0</v>
      </c>
      <c r="Z146" s="19">
        <v>0</v>
      </c>
      <c r="AA146" s="19">
        <v>53</v>
      </c>
      <c r="AB146" s="25">
        <v>40</v>
      </c>
    </row>
    <row r="147" spans="2:28" ht="17" thickBot="1">
      <c r="B147" s="3" t="s">
        <v>39</v>
      </c>
      <c r="C147" t="s">
        <v>109</v>
      </c>
      <c r="D147">
        <f t="shared" si="3"/>
        <v>6.25E-2</v>
      </c>
      <c r="E147" s="9" t="s">
        <v>65</v>
      </c>
      <c r="F147" s="19">
        <v>0</v>
      </c>
      <c r="G147" s="19">
        <v>0</v>
      </c>
      <c r="H147" s="19">
        <v>0</v>
      </c>
      <c r="I147" s="19">
        <v>0</v>
      </c>
      <c r="J147" s="19">
        <v>0</v>
      </c>
      <c r="K147" s="19">
        <v>0</v>
      </c>
      <c r="L147" s="19">
        <v>0</v>
      </c>
      <c r="M147" s="19">
        <v>1.4</v>
      </c>
      <c r="N147" s="19">
        <v>1.4</v>
      </c>
      <c r="O147" s="19">
        <v>1.4</v>
      </c>
      <c r="P147" s="19">
        <v>1.4</v>
      </c>
      <c r="Q147" s="19">
        <v>0</v>
      </c>
      <c r="R147" s="19"/>
      <c r="S147" s="19">
        <v>0</v>
      </c>
      <c r="T147" s="19">
        <v>3.6</v>
      </c>
      <c r="U147" s="19">
        <v>0</v>
      </c>
      <c r="V147" s="19">
        <v>0</v>
      </c>
      <c r="W147" s="19">
        <v>0</v>
      </c>
      <c r="X147" s="19">
        <v>0</v>
      </c>
      <c r="Y147" s="19">
        <v>0</v>
      </c>
      <c r="Z147" s="19">
        <v>0</v>
      </c>
      <c r="AA147" s="19">
        <v>3.6</v>
      </c>
      <c r="AB147" s="25">
        <v>50</v>
      </c>
    </row>
    <row r="148" spans="2:28" ht="17" thickBot="1">
      <c r="B148" s="3" t="s">
        <v>40</v>
      </c>
      <c r="C148" t="s">
        <v>73</v>
      </c>
      <c r="D148">
        <f t="shared" si="3"/>
        <v>8</v>
      </c>
      <c r="E148" s="9" t="s">
        <v>66</v>
      </c>
      <c r="F148" s="20">
        <v>0</v>
      </c>
      <c r="G148" s="20">
        <v>0</v>
      </c>
      <c r="H148" s="20">
        <v>0</v>
      </c>
      <c r="I148" s="20">
        <v>0</v>
      </c>
      <c r="J148" s="20">
        <v>0</v>
      </c>
      <c r="K148" s="20">
        <v>0</v>
      </c>
      <c r="L148" s="20">
        <v>16</v>
      </c>
      <c r="M148" s="20">
        <v>0</v>
      </c>
      <c r="N148" s="20">
        <v>0</v>
      </c>
      <c r="O148" s="20">
        <v>0</v>
      </c>
      <c r="P148" s="20">
        <v>0</v>
      </c>
      <c r="Q148" s="20">
        <v>0</v>
      </c>
      <c r="R148" s="20"/>
      <c r="S148" s="20">
        <v>0</v>
      </c>
      <c r="T148" s="20">
        <v>0</v>
      </c>
      <c r="U148" s="20">
        <v>0</v>
      </c>
      <c r="V148" s="20">
        <v>0</v>
      </c>
      <c r="W148" s="20">
        <v>0</v>
      </c>
      <c r="X148" s="20">
        <v>0</v>
      </c>
      <c r="Y148" s="20">
        <v>0</v>
      </c>
      <c r="Z148" s="20">
        <v>16</v>
      </c>
      <c r="AA148" s="20">
        <v>0</v>
      </c>
      <c r="AB148" s="25">
        <v>128</v>
      </c>
    </row>
    <row r="149" spans="2:28" ht="17" thickBot="1">
      <c r="B149" s="3" t="s">
        <v>41</v>
      </c>
      <c r="C149" s="9" t="s">
        <v>68</v>
      </c>
      <c r="D149">
        <f t="shared" si="3"/>
        <v>1</v>
      </c>
      <c r="E149" s="9" t="s">
        <v>68</v>
      </c>
      <c r="F149" s="19">
        <v>0</v>
      </c>
      <c r="G149" s="19">
        <v>0</v>
      </c>
      <c r="H149" s="19">
        <v>0</v>
      </c>
      <c r="I149" s="19">
        <v>0</v>
      </c>
      <c r="J149" s="19">
        <v>2</v>
      </c>
      <c r="K149" s="19">
        <v>0</v>
      </c>
      <c r="L149" s="19">
        <v>0</v>
      </c>
      <c r="M149" s="19">
        <v>0</v>
      </c>
      <c r="N149" s="19">
        <v>0</v>
      </c>
      <c r="O149" s="19">
        <v>0</v>
      </c>
      <c r="P149" s="19">
        <v>0</v>
      </c>
      <c r="Q149" s="19">
        <v>0</v>
      </c>
      <c r="R149" s="19"/>
      <c r="S149" s="19">
        <v>0</v>
      </c>
      <c r="T149" s="19">
        <v>0</v>
      </c>
      <c r="U149" s="19">
        <v>0</v>
      </c>
      <c r="V149" s="19">
        <v>0</v>
      </c>
      <c r="W149" s="19">
        <v>0</v>
      </c>
      <c r="X149" s="19">
        <v>0</v>
      </c>
      <c r="Y149" s="19">
        <v>0</v>
      </c>
      <c r="Z149" s="19">
        <v>0</v>
      </c>
      <c r="AA149" s="19">
        <v>0</v>
      </c>
      <c r="AB149" s="25">
        <v>133.30000000000001</v>
      </c>
    </row>
    <row r="150" spans="2:28" ht="17" thickBot="1">
      <c r="B150" s="3" t="s">
        <v>42</v>
      </c>
      <c r="C150" s="9" t="s">
        <v>68</v>
      </c>
      <c r="D150">
        <f t="shared" si="3"/>
        <v>1</v>
      </c>
      <c r="E150" s="9" t="s">
        <v>68</v>
      </c>
      <c r="F150" s="23">
        <v>0</v>
      </c>
      <c r="G150" s="23">
        <v>0</v>
      </c>
      <c r="H150" s="23">
        <v>0</v>
      </c>
      <c r="I150" s="23">
        <v>0</v>
      </c>
      <c r="J150" s="23">
        <v>6</v>
      </c>
      <c r="K150" s="23">
        <v>0</v>
      </c>
      <c r="L150" s="23">
        <v>2</v>
      </c>
      <c r="M150" s="23">
        <v>0</v>
      </c>
      <c r="N150" s="23">
        <v>0</v>
      </c>
      <c r="O150" s="23">
        <v>0</v>
      </c>
      <c r="P150" s="23">
        <v>0</v>
      </c>
      <c r="Q150" s="23">
        <v>0</v>
      </c>
      <c r="R150" s="23"/>
      <c r="S150" s="23">
        <v>0</v>
      </c>
      <c r="T150" s="23">
        <v>0</v>
      </c>
      <c r="U150" s="23">
        <v>0</v>
      </c>
      <c r="V150" s="23">
        <v>0</v>
      </c>
      <c r="W150" s="23">
        <v>0</v>
      </c>
      <c r="X150" s="23">
        <v>0</v>
      </c>
      <c r="Y150" s="23">
        <v>0</v>
      </c>
      <c r="Z150" s="23">
        <v>2</v>
      </c>
      <c r="AA150" s="23">
        <v>0</v>
      </c>
      <c r="AB150" s="25">
        <v>177.8</v>
      </c>
    </row>
    <row r="151" spans="2:28" ht="17" thickBot="1">
      <c r="B151" s="3" t="s">
        <v>43</v>
      </c>
      <c r="C151" s="9" t="s">
        <v>68</v>
      </c>
      <c r="D151">
        <f t="shared" si="3"/>
        <v>1</v>
      </c>
      <c r="E151" s="9" t="s">
        <v>68</v>
      </c>
      <c r="F151" s="20">
        <v>0</v>
      </c>
      <c r="G151" s="20">
        <v>0</v>
      </c>
      <c r="H151" s="20">
        <v>0</v>
      </c>
      <c r="I151" s="20">
        <v>0</v>
      </c>
      <c r="J151" s="20">
        <v>0</v>
      </c>
      <c r="K151" s="20">
        <v>0</v>
      </c>
      <c r="L151" s="20">
        <v>2</v>
      </c>
      <c r="M151" s="20">
        <v>0</v>
      </c>
      <c r="N151" s="20">
        <v>0</v>
      </c>
      <c r="O151" s="20">
        <v>0</v>
      </c>
      <c r="P151" s="20">
        <v>0</v>
      </c>
      <c r="Q151" s="20">
        <v>0</v>
      </c>
      <c r="R151" s="20"/>
      <c r="S151" s="20">
        <v>0</v>
      </c>
      <c r="T151" s="20">
        <v>0</v>
      </c>
      <c r="U151" s="20">
        <v>0</v>
      </c>
      <c r="V151" s="20">
        <v>0</v>
      </c>
      <c r="W151" s="20">
        <v>0</v>
      </c>
      <c r="X151" s="20">
        <v>0</v>
      </c>
      <c r="Y151" s="20">
        <v>0</v>
      </c>
      <c r="Z151" s="20">
        <v>2</v>
      </c>
      <c r="AA151" s="20">
        <v>0</v>
      </c>
      <c r="AB151" s="25">
        <v>320</v>
      </c>
    </row>
    <row r="152" spans="2:28" ht="17" thickBot="1">
      <c r="B152" s="3" t="s">
        <v>60</v>
      </c>
      <c r="C152" t="s">
        <v>73</v>
      </c>
      <c r="D152">
        <f t="shared" si="3"/>
        <v>0.37453183520599254</v>
      </c>
      <c r="E152" s="9" t="s">
        <v>65</v>
      </c>
      <c r="F152" s="23">
        <v>1.6</v>
      </c>
      <c r="G152" s="23">
        <v>0</v>
      </c>
      <c r="H152" s="23">
        <v>0</v>
      </c>
      <c r="I152" s="23">
        <v>0</v>
      </c>
      <c r="J152" s="23">
        <v>0</v>
      </c>
      <c r="K152" s="23">
        <v>0</v>
      </c>
      <c r="L152" s="23">
        <v>0</v>
      </c>
      <c r="M152" s="23">
        <v>0.8</v>
      </c>
      <c r="N152" s="23">
        <v>0</v>
      </c>
      <c r="O152" s="23">
        <v>0</v>
      </c>
      <c r="P152" s="23">
        <v>0</v>
      </c>
      <c r="Q152" s="23">
        <v>1.6</v>
      </c>
      <c r="R152" s="23"/>
      <c r="S152" s="23">
        <v>0</v>
      </c>
      <c r="T152" s="23">
        <v>0.8</v>
      </c>
      <c r="U152" s="23">
        <v>1.6</v>
      </c>
      <c r="V152" s="23">
        <v>0</v>
      </c>
      <c r="W152" s="23">
        <v>0</v>
      </c>
      <c r="X152" s="23">
        <v>0.8</v>
      </c>
      <c r="Y152" s="23">
        <v>1.6</v>
      </c>
      <c r="Z152" s="23">
        <v>0</v>
      </c>
      <c r="AA152" s="23">
        <v>0.8</v>
      </c>
      <c r="AB152" s="25">
        <v>22</v>
      </c>
    </row>
    <row r="153" spans="2:28" ht="17" thickBot="1">
      <c r="B153" s="3" t="s">
        <v>44</v>
      </c>
      <c r="C153" t="s">
        <v>73</v>
      </c>
      <c r="D153">
        <f t="shared" si="3"/>
        <v>0.37453183520599254</v>
      </c>
      <c r="E153" s="9" t="s">
        <v>65</v>
      </c>
      <c r="F153" s="23">
        <v>0</v>
      </c>
      <c r="G153" s="23">
        <v>0</v>
      </c>
      <c r="H153" s="23">
        <v>0</v>
      </c>
      <c r="I153" s="23">
        <v>0</v>
      </c>
      <c r="J153" s="23">
        <v>0</v>
      </c>
      <c r="K153" s="23">
        <v>0</v>
      </c>
      <c r="L153" s="23">
        <v>0</v>
      </c>
      <c r="M153" s="23">
        <v>0.4</v>
      </c>
      <c r="N153" s="23">
        <v>0</v>
      </c>
      <c r="O153" s="23">
        <v>0</v>
      </c>
      <c r="P153" s="23">
        <v>0</v>
      </c>
      <c r="Q153" s="23">
        <v>0</v>
      </c>
      <c r="R153" s="23"/>
      <c r="S153" s="23">
        <v>0</v>
      </c>
      <c r="T153" s="23">
        <v>0</v>
      </c>
      <c r="U153" s="23">
        <v>0</v>
      </c>
      <c r="V153" s="23">
        <v>0</v>
      </c>
      <c r="W153" s="23">
        <v>0</v>
      </c>
      <c r="X153" s="23">
        <v>0.4</v>
      </c>
      <c r="Y153" s="23">
        <v>0</v>
      </c>
      <c r="Z153" s="23">
        <v>0</v>
      </c>
      <c r="AA153" s="23">
        <v>0</v>
      </c>
      <c r="AB153" s="25">
        <v>1</v>
      </c>
    </row>
    <row r="154" spans="2:28" ht="17" thickBot="1">
      <c r="B154" s="3" t="s">
        <v>45</v>
      </c>
      <c r="C154" t="s">
        <v>73</v>
      </c>
      <c r="D154">
        <f t="shared" si="3"/>
        <v>0.37453183520599254</v>
      </c>
      <c r="E154" s="9" t="s">
        <v>65</v>
      </c>
      <c r="F154" s="20">
        <v>0</v>
      </c>
      <c r="G154" s="20">
        <v>0</v>
      </c>
      <c r="H154" s="20">
        <v>0</v>
      </c>
      <c r="I154" s="20">
        <v>0</v>
      </c>
      <c r="J154" s="20">
        <v>0</v>
      </c>
      <c r="K154" s="20">
        <v>0</v>
      </c>
      <c r="L154" s="20">
        <v>0</v>
      </c>
      <c r="M154" s="20">
        <v>0</v>
      </c>
      <c r="N154" s="20">
        <v>0</v>
      </c>
      <c r="O154" s="20">
        <v>0</v>
      </c>
      <c r="P154" s="20">
        <v>1.6</v>
      </c>
      <c r="Q154" s="20">
        <v>0</v>
      </c>
      <c r="R154" s="20"/>
      <c r="S154" s="20">
        <v>0</v>
      </c>
      <c r="T154" s="20">
        <v>0</v>
      </c>
      <c r="U154" s="20">
        <v>0</v>
      </c>
      <c r="V154" s="20">
        <v>0</v>
      </c>
      <c r="W154" s="20">
        <v>0</v>
      </c>
      <c r="X154" s="20">
        <v>0</v>
      </c>
      <c r="Y154" s="20">
        <v>0</v>
      </c>
      <c r="Z154" s="20">
        <v>0</v>
      </c>
      <c r="AA154" s="20">
        <v>0</v>
      </c>
      <c r="AB154" s="25">
        <v>1</v>
      </c>
    </row>
    <row r="155" spans="2:28" ht="17" thickBot="1">
      <c r="B155" s="3" t="s">
        <v>46</v>
      </c>
      <c r="C155" t="s">
        <v>73</v>
      </c>
      <c r="D155">
        <f t="shared" si="3"/>
        <v>0.37453183520599254</v>
      </c>
      <c r="E155" s="9" t="s">
        <v>65</v>
      </c>
      <c r="F155" s="23">
        <v>0</v>
      </c>
      <c r="G155" s="23">
        <v>0</v>
      </c>
      <c r="H155" s="23">
        <v>0</v>
      </c>
      <c r="I155" s="23">
        <v>0</v>
      </c>
      <c r="J155" s="23">
        <v>0</v>
      </c>
      <c r="K155" s="23">
        <v>0</v>
      </c>
      <c r="L155" s="23">
        <v>0</v>
      </c>
      <c r="M155" s="23">
        <v>0.4</v>
      </c>
      <c r="N155" s="23">
        <v>0</v>
      </c>
      <c r="O155" s="23">
        <v>0</v>
      </c>
      <c r="P155" s="23">
        <v>0</v>
      </c>
      <c r="Q155" s="23">
        <v>0</v>
      </c>
      <c r="R155" s="23"/>
      <c r="S155" s="23">
        <v>0</v>
      </c>
      <c r="T155" s="23">
        <v>0</v>
      </c>
      <c r="U155" s="23">
        <v>0</v>
      </c>
      <c r="V155" s="23">
        <v>0</v>
      </c>
      <c r="W155" s="23">
        <v>0</v>
      </c>
      <c r="X155" s="23">
        <v>0.4</v>
      </c>
      <c r="Y155" s="23">
        <v>0</v>
      </c>
      <c r="Z155" s="23">
        <v>0</v>
      </c>
      <c r="AA155" s="23">
        <v>0</v>
      </c>
      <c r="AB155" s="25">
        <v>1</v>
      </c>
    </row>
    <row r="156" spans="2:28" ht="17" thickBot="1">
      <c r="B156" s="3" t="s">
        <v>47</v>
      </c>
      <c r="C156" t="s">
        <v>73</v>
      </c>
      <c r="D156">
        <f t="shared" si="3"/>
        <v>0.37453183520599254</v>
      </c>
      <c r="E156" s="9" t="s">
        <v>65</v>
      </c>
      <c r="F156" s="23">
        <v>0</v>
      </c>
      <c r="G156" s="23">
        <v>0</v>
      </c>
      <c r="H156" s="23">
        <v>0</v>
      </c>
      <c r="I156" s="23">
        <v>0</v>
      </c>
      <c r="J156" s="23">
        <v>0</v>
      </c>
      <c r="K156" s="23">
        <v>0</v>
      </c>
      <c r="L156" s="23">
        <v>0</v>
      </c>
      <c r="M156" s="23">
        <v>0</v>
      </c>
      <c r="N156" s="23">
        <v>0</v>
      </c>
      <c r="O156" s="23">
        <v>0</v>
      </c>
      <c r="P156" s="23">
        <v>0</v>
      </c>
      <c r="Q156" s="23">
        <v>0</v>
      </c>
      <c r="R156" s="23"/>
      <c r="S156" s="23">
        <v>1.6</v>
      </c>
      <c r="T156" s="23">
        <v>0</v>
      </c>
      <c r="U156" s="23">
        <v>0</v>
      </c>
      <c r="V156" s="23">
        <v>0</v>
      </c>
      <c r="W156" s="23">
        <v>0</v>
      </c>
      <c r="X156" s="23">
        <v>0</v>
      </c>
      <c r="Y156" s="23">
        <v>0</v>
      </c>
      <c r="Z156" s="23">
        <v>0</v>
      </c>
      <c r="AA156" s="23">
        <v>0</v>
      </c>
      <c r="AB156" s="25">
        <v>1</v>
      </c>
    </row>
    <row r="157" spans="2:28" ht="17" thickBot="1">
      <c r="B157" s="3" t="s">
        <v>48</v>
      </c>
      <c r="C157" t="s">
        <v>73</v>
      </c>
      <c r="D157">
        <f t="shared" si="3"/>
        <v>0.37453183520599254</v>
      </c>
      <c r="E157" s="9" t="s">
        <v>65</v>
      </c>
      <c r="F157" s="23">
        <v>0</v>
      </c>
      <c r="G157" s="23">
        <v>0.8</v>
      </c>
      <c r="H157" s="23">
        <v>0</v>
      </c>
      <c r="I157" s="23">
        <v>0</v>
      </c>
      <c r="J157" s="23">
        <v>0</v>
      </c>
      <c r="K157" s="23">
        <v>0</v>
      </c>
      <c r="L157" s="23">
        <v>0</v>
      </c>
      <c r="M157" s="23">
        <v>0</v>
      </c>
      <c r="N157" s="23">
        <v>0</v>
      </c>
      <c r="O157" s="23">
        <v>0</v>
      </c>
      <c r="P157" s="23">
        <v>0</v>
      </c>
      <c r="Q157" s="23">
        <v>0</v>
      </c>
      <c r="R157" s="23"/>
      <c r="S157" s="23">
        <v>0</v>
      </c>
      <c r="T157" s="23">
        <v>0</v>
      </c>
      <c r="U157" s="23">
        <v>0</v>
      </c>
      <c r="V157" s="23">
        <v>0.8</v>
      </c>
      <c r="W157" s="23">
        <v>0</v>
      </c>
      <c r="X157" s="23">
        <v>0</v>
      </c>
      <c r="Y157" s="23">
        <v>0</v>
      </c>
      <c r="Z157" s="23">
        <v>0</v>
      </c>
      <c r="AA157" s="23">
        <v>0</v>
      </c>
      <c r="AB157" s="25">
        <v>1</v>
      </c>
    </row>
    <row r="158" spans="2:28" ht="17" thickBot="1">
      <c r="B158" s="2" t="s">
        <v>49</v>
      </c>
      <c r="C158" t="s">
        <v>73</v>
      </c>
      <c r="D158">
        <f t="shared" si="3"/>
        <v>0.4366812227074236</v>
      </c>
      <c r="E158" s="10" t="s">
        <v>65</v>
      </c>
      <c r="F158" s="18">
        <v>0</v>
      </c>
      <c r="G158" s="18">
        <v>0</v>
      </c>
      <c r="H158" s="18">
        <v>0</v>
      </c>
      <c r="I158" s="18">
        <v>0</v>
      </c>
      <c r="J158" s="18">
        <v>0</v>
      </c>
      <c r="K158" s="18">
        <v>0</v>
      </c>
      <c r="L158" s="18">
        <v>0</v>
      </c>
      <c r="M158" s="18">
        <v>0</v>
      </c>
      <c r="N158" s="18">
        <v>0.9</v>
      </c>
      <c r="O158" s="18">
        <v>0</v>
      </c>
      <c r="P158" s="18">
        <v>0</v>
      </c>
      <c r="Q158" s="18">
        <v>0</v>
      </c>
      <c r="R158" s="18"/>
      <c r="S158" s="18">
        <v>0</v>
      </c>
      <c r="T158" s="18">
        <v>0</v>
      </c>
      <c r="U158" s="18">
        <v>0</v>
      </c>
      <c r="V158" s="18">
        <v>0</v>
      </c>
      <c r="W158" s="18">
        <v>0</v>
      </c>
      <c r="X158" s="18">
        <v>0</v>
      </c>
      <c r="Y158" s="18">
        <v>0</v>
      </c>
      <c r="Z158" s="18">
        <v>0</v>
      </c>
      <c r="AA158" s="18">
        <v>0</v>
      </c>
      <c r="AB158" s="25">
        <v>25</v>
      </c>
    </row>
    <row r="159" spans="2:28" ht="17" thickBot="1">
      <c r="B159" s="3" t="s">
        <v>61</v>
      </c>
      <c r="C159" t="s">
        <v>73</v>
      </c>
      <c r="D159">
        <f t="shared" si="3"/>
        <v>0.29498525073746312</v>
      </c>
      <c r="E159" s="9" t="s">
        <v>65</v>
      </c>
      <c r="F159" s="20">
        <v>0</v>
      </c>
      <c r="G159" s="20">
        <v>0.7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>
        <v>0</v>
      </c>
      <c r="N159" s="20">
        <v>0</v>
      </c>
      <c r="O159" s="20">
        <v>0</v>
      </c>
      <c r="P159" s="20">
        <v>0</v>
      </c>
      <c r="Q159" s="20">
        <v>0</v>
      </c>
      <c r="R159" s="20"/>
      <c r="S159" s="20">
        <v>0</v>
      </c>
      <c r="T159" s="20">
        <v>0.5</v>
      </c>
      <c r="U159" s="20">
        <v>0</v>
      </c>
      <c r="V159" s="20">
        <v>0.8</v>
      </c>
      <c r="W159" s="20">
        <v>0</v>
      </c>
      <c r="X159" s="20">
        <v>0</v>
      </c>
      <c r="Y159" s="20">
        <v>0</v>
      </c>
      <c r="Z159" s="20">
        <v>0</v>
      </c>
      <c r="AA159" s="20">
        <v>0.5</v>
      </c>
      <c r="AB159" s="25">
        <v>1</v>
      </c>
    </row>
    <row r="160" spans="2:28" ht="17" thickBot="1">
      <c r="B160" s="3" t="s">
        <v>62</v>
      </c>
      <c r="C160" t="s">
        <v>73</v>
      </c>
      <c r="D160">
        <f t="shared" si="3"/>
        <v>0.3125</v>
      </c>
      <c r="E160" s="9" t="s">
        <v>65</v>
      </c>
      <c r="F160" s="23">
        <v>0</v>
      </c>
      <c r="G160" s="23">
        <v>0</v>
      </c>
      <c r="H160" s="23">
        <v>0</v>
      </c>
      <c r="I160" s="23">
        <v>0</v>
      </c>
      <c r="J160" s="23">
        <v>0</v>
      </c>
      <c r="K160" s="23">
        <v>0</v>
      </c>
      <c r="L160" s="23">
        <v>0</v>
      </c>
      <c r="M160" s="23">
        <v>0</v>
      </c>
      <c r="N160" s="23">
        <v>0</v>
      </c>
      <c r="O160" s="23">
        <v>1.2</v>
      </c>
      <c r="P160" s="23">
        <v>0</v>
      </c>
      <c r="Q160" s="23">
        <v>0</v>
      </c>
      <c r="R160" s="23"/>
      <c r="S160" s="23">
        <v>0</v>
      </c>
      <c r="T160" s="23">
        <v>0</v>
      </c>
      <c r="U160" s="23">
        <v>0</v>
      </c>
      <c r="V160" s="23">
        <v>0</v>
      </c>
      <c r="W160" s="23">
        <v>0</v>
      </c>
      <c r="X160" s="23">
        <v>0</v>
      </c>
      <c r="Y160" s="23">
        <v>0</v>
      </c>
      <c r="Z160" s="23">
        <v>0</v>
      </c>
      <c r="AA160" s="23">
        <v>0</v>
      </c>
      <c r="AB160" s="25">
        <v>1</v>
      </c>
    </row>
    <row r="161" spans="2:28" ht="17" thickBot="1">
      <c r="B161" s="3" t="s">
        <v>50</v>
      </c>
      <c r="C161" t="s">
        <v>73</v>
      </c>
      <c r="D161">
        <f t="shared" si="3"/>
        <v>3.3333333333333335</v>
      </c>
      <c r="E161" s="9" t="s">
        <v>69</v>
      </c>
      <c r="F161" s="23">
        <v>0</v>
      </c>
      <c r="G161" s="23">
        <v>0</v>
      </c>
      <c r="H161" s="23">
        <v>10</v>
      </c>
      <c r="I161" s="23">
        <v>0</v>
      </c>
      <c r="J161" s="23">
        <v>0</v>
      </c>
      <c r="K161" s="23">
        <v>0</v>
      </c>
      <c r="L161" s="23">
        <v>0</v>
      </c>
      <c r="M161" s="23">
        <v>0</v>
      </c>
      <c r="N161" s="23">
        <v>0</v>
      </c>
      <c r="O161" s="23">
        <v>0</v>
      </c>
      <c r="P161" s="23">
        <v>0</v>
      </c>
      <c r="Q161" s="23">
        <v>0</v>
      </c>
      <c r="R161" s="23"/>
      <c r="S161" s="23">
        <v>0</v>
      </c>
      <c r="T161" s="23">
        <v>0.5</v>
      </c>
      <c r="U161" s="23">
        <v>0</v>
      </c>
      <c r="V161" s="23">
        <v>0</v>
      </c>
      <c r="W161" s="23">
        <v>10</v>
      </c>
      <c r="X161" s="23">
        <v>0</v>
      </c>
      <c r="Y161" s="23">
        <v>0</v>
      </c>
      <c r="Z161" s="23">
        <v>0</v>
      </c>
      <c r="AA161" s="23">
        <v>0.5</v>
      </c>
      <c r="AB161" s="25">
        <v>14</v>
      </c>
    </row>
    <row r="162" spans="2:28" ht="17" thickBot="1">
      <c r="B162" s="3" t="s">
        <v>51</v>
      </c>
      <c r="C162" t="s">
        <v>73</v>
      </c>
      <c r="D162">
        <f t="shared" si="3"/>
        <v>4.166666666666667</v>
      </c>
      <c r="E162" s="9" t="s">
        <v>69</v>
      </c>
      <c r="F162" s="20">
        <v>0</v>
      </c>
      <c r="G162" s="20">
        <v>0</v>
      </c>
      <c r="H162" s="20">
        <v>4.2</v>
      </c>
      <c r="I162" s="20">
        <v>0</v>
      </c>
      <c r="J162" s="20">
        <v>0</v>
      </c>
      <c r="K162" s="20">
        <v>0</v>
      </c>
      <c r="L162" s="20">
        <v>0</v>
      </c>
      <c r="M162" s="20">
        <v>0</v>
      </c>
      <c r="N162" s="20">
        <v>0</v>
      </c>
      <c r="O162" s="20">
        <v>0</v>
      </c>
      <c r="P162" s="20">
        <v>0</v>
      </c>
      <c r="Q162" s="20">
        <v>0</v>
      </c>
      <c r="R162" s="20"/>
      <c r="S162" s="20">
        <v>0</v>
      </c>
      <c r="T162" s="20">
        <v>0</v>
      </c>
      <c r="U162" s="20">
        <v>0</v>
      </c>
      <c r="V162" s="20">
        <v>0</v>
      </c>
      <c r="W162" s="20">
        <v>4.2</v>
      </c>
      <c r="X162" s="20">
        <v>0</v>
      </c>
      <c r="Y162" s="20">
        <v>0</v>
      </c>
      <c r="Z162" s="20">
        <v>0</v>
      </c>
      <c r="AA162" s="20">
        <v>0</v>
      </c>
      <c r="AB162" s="25">
        <v>16</v>
      </c>
    </row>
    <row r="163" spans="2:28" ht="16" thickBot="1">
      <c r="B163" s="2" t="s">
        <v>52</v>
      </c>
      <c r="C163" s="10" t="s">
        <v>68</v>
      </c>
      <c r="D163">
        <f t="shared" si="3"/>
        <v>1</v>
      </c>
      <c r="E163" s="10" t="s">
        <v>68</v>
      </c>
      <c r="F163" s="18">
        <v>4</v>
      </c>
      <c r="G163" s="18">
        <v>4</v>
      </c>
      <c r="H163" s="18">
        <v>0</v>
      </c>
      <c r="I163" s="18">
        <v>5</v>
      </c>
      <c r="J163" s="18">
        <v>2</v>
      </c>
      <c r="K163" s="18">
        <v>0</v>
      </c>
      <c r="L163" s="18">
        <v>0</v>
      </c>
      <c r="M163" s="18">
        <v>4</v>
      </c>
      <c r="N163" s="18">
        <v>4</v>
      </c>
      <c r="O163" s="18">
        <v>4</v>
      </c>
      <c r="P163" s="18">
        <v>4</v>
      </c>
      <c r="Q163" s="18">
        <v>6</v>
      </c>
      <c r="R163" s="18"/>
      <c r="S163" s="18">
        <v>6</v>
      </c>
      <c r="T163" s="18">
        <v>2</v>
      </c>
      <c r="U163" s="18">
        <v>4</v>
      </c>
      <c r="V163" s="18">
        <v>4</v>
      </c>
      <c r="W163" s="18">
        <v>0</v>
      </c>
      <c r="X163" s="18">
        <v>4</v>
      </c>
      <c r="Y163" s="18">
        <v>6</v>
      </c>
      <c r="Z163" s="18">
        <v>0</v>
      </c>
      <c r="AA163" s="18">
        <v>2</v>
      </c>
      <c r="AB163" s="27">
        <v>96</v>
      </c>
    </row>
    <row r="164" spans="2:28" ht="17" thickBot="1">
      <c r="B164" s="2" t="s">
        <v>63</v>
      </c>
      <c r="C164" s="10" t="s">
        <v>68</v>
      </c>
      <c r="D164">
        <f t="shared" si="3"/>
        <v>1</v>
      </c>
      <c r="E164" s="10" t="s">
        <v>68</v>
      </c>
      <c r="F164" s="18">
        <v>0</v>
      </c>
      <c r="G164" s="18">
        <v>0</v>
      </c>
      <c r="H164" s="18">
        <v>2</v>
      </c>
      <c r="I164" s="18">
        <v>0</v>
      </c>
      <c r="J164" s="18">
        <v>0</v>
      </c>
      <c r="K164" s="18">
        <v>0</v>
      </c>
      <c r="L164" s="18">
        <v>0</v>
      </c>
      <c r="M164" s="18">
        <v>0</v>
      </c>
      <c r="N164" s="18">
        <v>0</v>
      </c>
      <c r="O164" s="18">
        <v>0</v>
      </c>
      <c r="P164" s="18">
        <v>0</v>
      </c>
      <c r="Q164" s="18">
        <v>0</v>
      </c>
      <c r="R164" s="18"/>
      <c r="S164" s="18">
        <v>0</v>
      </c>
      <c r="T164" s="18">
        <v>0</v>
      </c>
      <c r="U164" s="18">
        <v>0</v>
      </c>
      <c r="V164" s="18">
        <v>0</v>
      </c>
      <c r="W164" s="18">
        <v>2</v>
      </c>
      <c r="X164" s="18">
        <v>0</v>
      </c>
      <c r="Y164" s="18">
        <v>0</v>
      </c>
      <c r="Z164" s="18">
        <v>0</v>
      </c>
      <c r="AA164" s="18">
        <v>0</v>
      </c>
      <c r="AB164" s="25">
        <v>48</v>
      </c>
    </row>
    <row r="165" spans="2:28" ht="17" thickBot="1">
      <c r="B165" s="2" t="s">
        <v>64</v>
      </c>
      <c r="C165" s="10" t="s">
        <v>68</v>
      </c>
      <c r="D165">
        <f t="shared" si="3"/>
        <v>1</v>
      </c>
      <c r="E165" s="10" t="s">
        <v>68</v>
      </c>
      <c r="F165" s="18">
        <v>0</v>
      </c>
      <c r="G165" s="18">
        <v>0</v>
      </c>
      <c r="H165" s="18">
        <v>2</v>
      </c>
      <c r="I165" s="18">
        <v>0</v>
      </c>
      <c r="J165" s="18">
        <v>0</v>
      </c>
      <c r="K165" s="18">
        <v>0</v>
      </c>
      <c r="L165" s="18">
        <v>0</v>
      </c>
      <c r="M165" s="18">
        <v>0</v>
      </c>
      <c r="N165" s="18">
        <v>0</v>
      </c>
      <c r="O165" s="18">
        <v>0</v>
      </c>
      <c r="P165" s="18">
        <v>0</v>
      </c>
      <c r="Q165" s="18">
        <v>0</v>
      </c>
      <c r="R165" s="18"/>
      <c r="S165" s="18">
        <v>0</v>
      </c>
      <c r="T165" s="18">
        <v>0</v>
      </c>
      <c r="U165" s="18">
        <v>0</v>
      </c>
      <c r="V165" s="18">
        <v>0</v>
      </c>
      <c r="W165" s="18">
        <v>2</v>
      </c>
      <c r="X165" s="18">
        <v>0</v>
      </c>
      <c r="Y165" s="18">
        <v>0</v>
      </c>
      <c r="Z165" s="18">
        <v>0</v>
      </c>
      <c r="AA165" s="18">
        <v>0</v>
      </c>
      <c r="AB165" s="25">
        <v>6</v>
      </c>
    </row>
    <row r="166" spans="2:28" ht="17" thickBot="1">
      <c r="B166" s="3" t="s">
        <v>53</v>
      </c>
      <c r="C166" s="9" t="s">
        <v>82</v>
      </c>
      <c r="D166">
        <f t="shared" si="3"/>
        <v>1</v>
      </c>
      <c r="E166" s="9" t="s">
        <v>82</v>
      </c>
      <c r="F166" s="23">
        <v>0</v>
      </c>
      <c r="G166" s="23">
        <v>0</v>
      </c>
      <c r="H166" s="23">
        <v>0</v>
      </c>
      <c r="I166" s="23">
        <v>0</v>
      </c>
      <c r="J166" s="23">
        <v>0</v>
      </c>
      <c r="K166" s="23">
        <v>0</v>
      </c>
      <c r="L166" s="23">
        <v>0</v>
      </c>
      <c r="M166" s="23">
        <v>0</v>
      </c>
      <c r="N166" s="23">
        <v>2</v>
      </c>
      <c r="O166" s="23">
        <v>0</v>
      </c>
      <c r="P166" s="23">
        <v>0</v>
      </c>
      <c r="Q166" s="23">
        <v>0</v>
      </c>
      <c r="R166" s="23"/>
      <c r="S166" s="23">
        <v>0</v>
      </c>
      <c r="T166" s="23">
        <v>0</v>
      </c>
      <c r="U166" s="23">
        <v>0</v>
      </c>
      <c r="V166" s="23">
        <v>0</v>
      </c>
      <c r="W166" s="23">
        <v>0</v>
      </c>
      <c r="X166" s="23">
        <v>0</v>
      </c>
      <c r="Y166" s="23">
        <v>0</v>
      </c>
      <c r="Z166" s="23">
        <v>0</v>
      </c>
      <c r="AA166" s="23">
        <v>0</v>
      </c>
      <c r="AB166" s="25">
        <v>1</v>
      </c>
    </row>
    <row r="167" spans="2:28" ht="17" thickBot="1">
      <c r="B167" s="2" t="s">
        <v>54</v>
      </c>
      <c r="C167" s="10" t="s">
        <v>69</v>
      </c>
      <c r="D167">
        <f t="shared" si="3"/>
        <v>1</v>
      </c>
      <c r="E167" s="10" t="s">
        <v>69</v>
      </c>
      <c r="F167" s="18">
        <v>0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11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/>
      <c r="S167" s="18">
        <v>0</v>
      </c>
      <c r="T167" s="18">
        <v>0</v>
      </c>
      <c r="U167" s="18">
        <v>0</v>
      </c>
      <c r="V167" s="18">
        <v>0</v>
      </c>
      <c r="W167" s="18">
        <v>0</v>
      </c>
      <c r="X167" s="18">
        <v>0</v>
      </c>
      <c r="Y167" s="18">
        <v>0</v>
      </c>
      <c r="Z167" s="18">
        <v>11</v>
      </c>
      <c r="AA167" s="18">
        <v>0</v>
      </c>
      <c r="AB167" s="25">
        <v>32</v>
      </c>
    </row>
    <row r="168" spans="2:28" ht="16">
      <c r="B168" s="4" t="s">
        <v>55</v>
      </c>
      <c r="C168" t="s">
        <v>73</v>
      </c>
      <c r="D168">
        <f t="shared" si="3"/>
        <v>5</v>
      </c>
      <c r="E168" s="9" t="s">
        <v>69</v>
      </c>
      <c r="F168" s="20">
        <v>0</v>
      </c>
      <c r="G168" s="20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>
        <v>0</v>
      </c>
      <c r="N168" s="20">
        <v>0</v>
      </c>
      <c r="O168" s="20">
        <v>0</v>
      </c>
      <c r="P168" s="20">
        <v>0</v>
      </c>
      <c r="Q168" s="20">
        <v>0</v>
      </c>
      <c r="R168" s="20"/>
      <c r="S168" s="20">
        <v>0</v>
      </c>
      <c r="T168" s="20">
        <v>0.8</v>
      </c>
      <c r="U168" s="20">
        <v>0</v>
      </c>
      <c r="V168" s="20">
        <v>0</v>
      </c>
      <c r="W168" s="20">
        <v>0</v>
      </c>
      <c r="X168" s="20">
        <v>0</v>
      </c>
      <c r="Y168" s="20">
        <v>0</v>
      </c>
      <c r="Z168" s="20">
        <v>0</v>
      </c>
      <c r="AA168" s="20">
        <v>0.8</v>
      </c>
      <c r="AB168" s="25">
        <v>16</v>
      </c>
    </row>
    <row r="169" spans="2:28" ht="16">
      <c r="B169" s="7" t="s">
        <v>71</v>
      </c>
      <c r="C169" t="s">
        <v>109</v>
      </c>
      <c r="D169">
        <f t="shared" si="3"/>
        <v>6.25E-2</v>
      </c>
      <c r="E169" s="11" t="s">
        <v>65</v>
      </c>
      <c r="F169" s="18">
        <v>0</v>
      </c>
      <c r="G169" s="18">
        <v>0</v>
      </c>
      <c r="H169" s="18">
        <v>0</v>
      </c>
      <c r="I169" s="18">
        <v>2.5</v>
      </c>
      <c r="J169" s="18">
        <v>0</v>
      </c>
      <c r="K169" s="18">
        <v>0</v>
      </c>
      <c r="L169" s="18">
        <v>0</v>
      </c>
      <c r="M169" s="18">
        <v>0</v>
      </c>
      <c r="N169" s="18">
        <v>0</v>
      </c>
      <c r="O169" s="18">
        <v>0</v>
      </c>
      <c r="P169" s="18">
        <v>0</v>
      </c>
      <c r="Q169" s="18">
        <v>0</v>
      </c>
      <c r="R169" s="18"/>
      <c r="S169" s="18">
        <v>0</v>
      </c>
      <c r="T169" s="18">
        <v>0</v>
      </c>
      <c r="U169" s="18">
        <v>0</v>
      </c>
      <c r="V169" s="18">
        <v>0</v>
      </c>
      <c r="W169" s="18">
        <v>0</v>
      </c>
      <c r="X169" s="18">
        <v>0</v>
      </c>
      <c r="Y169" s="18">
        <v>0</v>
      </c>
      <c r="Z169" s="18">
        <v>0</v>
      </c>
      <c r="AA169" s="18">
        <v>0</v>
      </c>
      <c r="AB169" s="25">
        <v>2</v>
      </c>
    </row>
    <row r="170" spans="2:28" ht="16">
      <c r="B170" s="6" t="s">
        <v>72</v>
      </c>
      <c r="C170" s="12" t="s">
        <v>73</v>
      </c>
      <c r="D170">
        <f t="shared" si="3"/>
        <v>1</v>
      </c>
      <c r="E170" s="12" t="s">
        <v>73</v>
      </c>
      <c r="F170" s="18">
        <v>0</v>
      </c>
      <c r="G170" s="18">
        <v>0</v>
      </c>
      <c r="H170" s="18">
        <v>0</v>
      </c>
      <c r="I170" s="18">
        <v>0.5</v>
      </c>
      <c r="J170" s="18">
        <v>0</v>
      </c>
      <c r="K170" s="18">
        <v>0</v>
      </c>
      <c r="L170" s="18">
        <v>0</v>
      </c>
      <c r="M170" s="18">
        <v>0</v>
      </c>
      <c r="N170" s="18">
        <v>0</v>
      </c>
      <c r="O170" s="18">
        <v>0</v>
      </c>
      <c r="P170" s="18">
        <v>0</v>
      </c>
      <c r="Q170" s="18">
        <v>0</v>
      </c>
      <c r="R170" s="18"/>
      <c r="S170" s="18">
        <v>0</v>
      </c>
      <c r="T170" s="18">
        <v>0</v>
      </c>
      <c r="U170" s="18">
        <v>0</v>
      </c>
      <c r="V170" s="18">
        <v>0</v>
      </c>
      <c r="W170" s="18">
        <v>0</v>
      </c>
      <c r="X170" s="18">
        <v>0</v>
      </c>
      <c r="Y170" s="18">
        <v>0</v>
      </c>
      <c r="Z170" s="18">
        <v>0</v>
      </c>
      <c r="AA170" s="18">
        <v>0</v>
      </c>
      <c r="AB170" s="25">
        <v>8</v>
      </c>
    </row>
    <row r="171" spans="2:28" ht="16">
      <c r="B171" s="5" t="s">
        <v>74</v>
      </c>
      <c r="C171" t="s">
        <v>109</v>
      </c>
      <c r="D171">
        <f t="shared" si="3"/>
        <v>6.25E-2</v>
      </c>
      <c r="E171" s="11" t="s">
        <v>65</v>
      </c>
      <c r="F171" s="18">
        <v>0</v>
      </c>
      <c r="G171" s="18">
        <v>0</v>
      </c>
      <c r="H171" s="18">
        <v>0</v>
      </c>
      <c r="I171" s="18">
        <v>0</v>
      </c>
      <c r="J171" s="18">
        <v>0</v>
      </c>
      <c r="K171" s="18">
        <v>0</v>
      </c>
      <c r="L171" s="18">
        <v>0</v>
      </c>
      <c r="M171" s="18">
        <v>0</v>
      </c>
      <c r="N171" s="18">
        <v>0</v>
      </c>
      <c r="O171" s="18">
        <v>0</v>
      </c>
      <c r="P171" s="18">
        <v>0</v>
      </c>
      <c r="Q171" s="18">
        <v>0</v>
      </c>
      <c r="R171" s="18"/>
      <c r="S171" s="18">
        <v>0</v>
      </c>
      <c r="T171" s="18">
        <v>0</v>
      </c>
      <c r="U171" s="18">
        <v>0</v>
      </c>
      <c r="V171" s="18">
        <v>0</v>
      </c>
      <c r="W171" s="18">
        <v>0</v>
      </c>
      <c r="X171" s="18">
        <v>1.4</v>
      </c>
      <c r="Y171" s="18">
        <v>0</v>
      </c>
      <c r="Z171" s="18">
        <v>0</v>
      </c>
      <c r="AA171" s="18">
        <v>0</v>
      </c>
      <c r="AB171" s="25">
        <v>20</v>
      </c>
    </row>
  </sheetData>
  <sheetProtection sheet="1" objects="1" scenarios="1"/>
  <phoneticPr fontId="24" type="noConversion"/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OTM_update">
                <anchor moveWithCells="1" sizeWithCells="1">
                  <from>
                    <xdr:col>16</xdr:col>
                    <xdr:colOff>406400</xdr:colOff>
                    <xdr:row>1</xdr:row>
                    <xdr:rowOff>101600</xdr:rowOff>
                  </from>
                  <to>
                    <xdr:col>19</xdr:col>
                    <xdr:colOff>609600</xdr:colOff>
                    <xdr:row>4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B10:I57"/>
  <sheetViews>
    <sheetView showRuler="0" workbookViewId="0">
      <selection activeCell="B11" sqref="B11"/>
    </sheetView>
  </sheetViews>
  <sheetFormatPr baseColWidth="10" defaultRowHeight="15" x14ac:dyDescent="0"/>
  <cols>
    <col min="2" max="2" width="23.6640625" customWidth="1"/>
    <col min="3" max="3" width="11.6640625" customWidth="1"/>
    <col min="4" max="4" width="24.1640625" customWidth="1"/>
    <col min="5" max="5" width="21.5" bestFit="1" customWidth="1"/>
    <col min="6" max="6" width="18" bestFit="1" customWidth="1"/>
    <col min="7" max="7" width="26" bestFit="1" customWidth="1"/>
    <col min="8" max="8" width="28.33203125" bestFit="1" customWidth="1"/>
    <col min="9" max="9" width="23.5" bestFit="1" customWidth="1"/>
    <col min="11" max="11" width="12.5" bestFit="1" customWidth="1"/>
    <col min="12" max="12" width="18.1640625" bestFit="1" customWidth="1"/>
    <col min="13" max="13" width="15.5" bestFit="1" customWidth="1"/>
    <col min="14" max="14" width="16" bestFit="1" customWidth="1"/>
  </cols>
  <sheetData>
    <row r="10" spans="2:9">
      <c r="B10" s="35" t="s">
        <v>160</v>
      </c>
      <c r="C10" s="39" t="s">
        <v>280</v>
      </c>
      <c r="D10" s="108">
        <v>222</v>
      </c>
      <c r="E10" s="108">
        <v>150</v>
      </c>
      <c r="F10" s="108">
        <v>87</v>
      </c>
      <c r="G10" s="108">
        <v>150</v>
      </c>
      <c r="H10" s="108">
        <v>156</v>
      </c>
      <c r="I10" s="108">
        <v>135</v>
      </c>
    </row>
    <row r="11" spans="2:9">
      <c r="B11" s="110" t="s">
        <v>150</v>
      </c>
      <c r="D11" s="38" t="s">
        <v>148</v>
      </c>
      <c r="E11" s="38" t="s">
        <v>150</v>
      </c>
      <c r="F11" s="38" t="s">
        <v>156</v>
      </c>
      <c r="G11" s="38" t="s">
        <v>157</v>
      </c>
      <c r="H11" s="38" t="s">
        <v>158</v>
      </c>
      <c r="I11" s="38" t="s">
        <v>159</v>
      </c>
    </row>
    <row r="12" spans="2:9">
      <c r="B12" s="81" t="s">
        <v>27</v>
      </c>
      <c r="C12" s="94" t="s">
        <v>109</v>
      </c>
      <c r="D12" s="103">
        <v>0</v>
      </c>
      <c r="E12" s="103">
        <v>46.62</v>
      </c>
      <c r="F12" s="103">
        <v>46.96</v>
      </c>
      <c r="G12" s="103">
        <v>46.62</v>
      </c>
      <c r="H12" s="103">
        <v>59.5</v>
      </c>
      <c r="I12" s="103">
        <v>49</v>
      </c>
    </row>
    <row r="13" spans="2:9">
      <c r="B13" s="81" t="s">
        <v>28</v>
      </c>
      <c r="C13" s="94" t="s">
        <v>73</v>
      </c>
      <c r="D13" s="103">
        <v>0</v>
      </c>
      <c r="E13" s="103">
        <v>0</v>
      </c>
      <c r="F13" s="103">
        <v>0</v>
      </c>
      <c r="G13" s="103">
        <v>0</v>
      </c>
      <c r="H13" s="103">
        <v>0</v>
      </c>
      <c r="I13" s="103">
        <v>0</v>
      </c>
    </row>
    <row r="14" spans="2:9">
      <c r="B14" s="81" t="s">
        <v>29</v>
      </c>
      <c r="C14" s="94" t="s">
        <v>109</v>
      </c>
      <c r="D14" s="103">
        <v>16</v>
      </c>
      <c r="E14" s="103">
        <v>24</v>
      </c>
      <c r="F14" s="103">
        <v>32</v>
      </c>
      <c r="G14" s="103">
        <v>24</v>
      </c>
      <c r="H14" s="103">
        <v>40</v>
      </c>
      <c r="I14" s="103">
        <v>24</v>
      </c>
    </row>
    <row r="15" spans="2:9" ht="16">
      <c r="B15" s="83" t="s">
        <v>30</v>
      </c>
      <c r="C15" s="94" t="s">
        <v>109</v>
      </c>
      <c r="D15" s="103">
        <v>0</v>
      </c>
      <c r="E15" s="103">
        <v>4.5</v>
      </c>
      <c r="F15" s="103">
        <v>0</v>
      </c>
      <c r="G15" s="103">
        <v>4.5</v>
      </c>
      <c r="H15" s="103">
        <v>0</v>
      </c>
      <c r="I15" s="103">
        <v>0</v>
      </c>
    </row>
    <row r="16" spans="2:9">
      <c r="B16" s="81" t="s">
        <v>57</v>
      </c>
      <c r="C16" s="81" t="s">
        <v>68</v>
      </c>
      <c r="D16" s="103">
        <v>8</v>
      </c>
      <c r="E16" s="103">
        <v>3</v>
      </c>
      <c r="F16" s="103">
        <v>0</v>
      </c>
      <c r="G16" s="103">
        <v>3</v>
      </c>
      <c r="H16" s="103">
        <v>0</v>
      </c>
      <c r="I16" s="103">
        <v>3</v>
      </c>
    </row>
    <row r="17" spans="2:9">
      <c r="B17" s="81" t="s">
        <v>58</v>
      </c>
      <c r="C17" s="81" t="s">
        <v>68</v>
      </c>
      <c r="D17" s="103">
        <v>0</v>
      </c>
      <c r="E17" s="103">
        <v>0</v>
      </c>
      <c r="F17" s="103">
        <v>0</v>
      </c>
      <c r="G17" s="103">
        <v>0</v>
      </c>
      <c r="H17" s="103">
        <v>2</v>
      </c>
      <c r="I17" s="103">
        <v>0</v>
      </c>
    </row>
    <row r="18" spans="2:9">
      <c r="B18" s="81" t="s">
        <v>31</v>
      </c>
      <c r="C18" s="81" t="s">
        <v>68</v>
      </c>
      <c r="D18" s="103">
        <v>5</v>
      </c>
      <c r="E18" s="103">
        <v>4</v>
      </c>
      <c r="F18" s="103">
        <v>3</v>
      </c>
      <c r="G18" s="103">
        <v>4</v>
      </c>
      <c r="H18" s="103">
        <v>4</v>
      </c>
      <c r="I18" s="103">
        <v>4</v>
      </c>
    </row>
    <row r="19" spans="2:9" ht="16">
      <c r="B19" s="83" t="s">
        <v>32</v>
      </c>
      <c r="C19" s="81" t="s">
        <v>82</v>
      </c>
      <c r="D19" s="103">
        <v>10</v>
      </c>
      <c r="E19" s="103">
        <v>6</v>
      </c>
      <c r="F19" s="103">
        <v>0</v>
      </c>
      <c r="G19" s="103">
        <v>6</v>
      </c>
      <c r="H19" s="103">
        <v>4</v>
      </c>
      <c r="I19" s="103">
        <v>3</v>
      </c>
    </row>
    <row r="20" spans="2:9" ht="16">
      <c r="B20" s="83" t="s">
        <v>33</v>
      </c>
      <c r="C20" s="94" t="s">
        <v>109</v>
      </c>
      <c r="D20" s="103">
        <v>32</v>
      </c>
      <c r="E20" s="103">
        <v>21.68</v>
      </c>
      <c r="F20" s="103">
        <v>0</v>
      </c>
      <c r="G20" s="103">
        <v>21.68</v>
      </c>
      <c r="H20" s="103">
        <v>0</v>
      </c>
      <c r="I20" s="103">
        <v>17.420000000000002</v>
      </c>
    </row>
    <row r="21" spans="2:9" ht="16">
      <c r="B21" s="83" t="s">
        <v>34</v>
      </c>
      <c r="C21" s="94" t="s">
        <v>109</v>
      </c>
      <c r="D21" s="103">
        <v>32</v>
      </c>
      <c r="E21" s="103">
        <v>21.54</v>
      </c>
      <c r="F21" s="103">
        <v>9.31</v>
      </c>
      <c r="G21" s="103">
        <v>21.54</v>
      </c>
      <c r="H21" s="103">
        <v>29.38</v>
      </c>
      <c r="I21" s="103">
        <v>18.12</v>
      </c>
    </row>
    <row r="22" spans="2:9" ht="16">
      <c r="B22" s="83" t="s">
        <v>59</v>
      </c>
      <c r="C22" s="94" t="s">
        <v>110</v>
      </c>
      <c r="D22" s="103">
        <v>0</v>
      </c>
      <c r="E22" s="103">
        <v>0</v>
      </c>
      <c r="F22" s="103">
        <v>0</v>
      </c>
      <c r="G22" s="103">
        <v>0</v>
      </c>
      <c r="H22" s="103">
        <v>0</v>
      </c>
      <c r="I22" s="103">
        <v>0</v>
      </c>
    </row>
    <row r="23" spans="2:9" ht="16">
      <c r="B23" s="83" t="s">
        <v>35</v>
      </c>
      <c r="C23" s="94" t="s">
        <v>73</v>
      </c>
      <c r="D23" s="103">
        <v>0</v>
      </c>
      <c r="E23" s="103">
        <v>0</v>
      </c>
      <c r="F23" s="103">
        <v>0</v>
      </c>
      <c r="G23" s="103">
        <v>0</v>
      </c>
      <c r="H23" s="103">
        <v>0</v>
      </c>
      <c r="I23" s="103">
        <v>0</v>
      </c>
    </row>
    <row r="24" spans="2:9" ht="16">
      <c r="B24" s="83" t="s">
        <v>36</v>
      </c>
      <c r="C24" s="94" t="s">
        <v>73</v>
      </c>
      <c r="D24" s="103">
        <v>0</v>
      </c>
      <c r="E24" s="103">
        <v>0</v>
      </c>
      <c r="F24" s="103">
        <v>0</v>
      </c>
      <c r="G24" s="103">
        <v>0</v>
      </c>
      <c r="H24" s="103">
        <v>0</v>
      </c>
      <c r="I24" s="103">
        <v>0</v>
      </c>
    </row>
    <row r="25" spans="2:9" ht="16">
      <c r="B25" s="83" t="s">
        <v>37</v>
      </c>
      <c r="C25" s="94" t="s">
        <v>109</v>
      </c>
      <c r="D25" s="103">
        <v>0</v>
      </c>
      <c r="E25" s="103">
        <v>0</v>
      </c>
      <c r="F25" s="103">
        <v>0</v>
      </c>
      <c r="G25" s="103">
        <v>0</v>
      </c>
      <c r="H25" s="103">
        <v>0</v>
      </c>
      <c r="I25" s="103">
        <v>0</v>
      </c>
    </row>
    <row r="26" spans="2:9" ht="16">
      <c r="B26" s="83" t="s">
        <v>38</v>
      </c>
      <c r="C26" s="81" t="s">
        <v>69</v>
      </c>
      <c r="D26" s="103">
        <v>52.6</v>
      </c>
      <c r="E26" s="103">
        <v>0</v>
      </c>
      <c r="F26" s="103">
        <v>0</v>
      </c>
      <c r="G26" s="103">
        <v>0</v>
      </c>
      <c r="H26" s="103">
        <v>0</v>
      </c>
      <c r="I26" s="103">
        <v>0</v>
      </c>
    </row>
    <row r="27" spans="2:9" ht="16">
      <c r="B27" s="83" t="s">
        <v>39</v>
      </c>
      <c r="C27" s="94" t="s">
        <v>109</v>
      </c>
      <c r="D27" s="103">
        <v>57.28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</row>
    <row r="28" spans="2:9" ht="16">
      <c r="B28" s="83" t="s">
        <v>40</v>
      </c>
      <c r="C28" s="94" t="s">
        <v>73</v>
      </c>
      <c r="D28" s="103">
        <v>0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</row>
    <row r="29" spans="2:9" ht="16">
      <c r="B29" s="83" t="s">
        <v>41</v>
      </c>
      <c r="C29" s="81" t="s">
        <v>68</v>
      </c>
      <c r="D29" s="103">
        <v>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</row>
    <row r="30" spans="2:9" ht="16">
      <c r="B30" s="83" t="s">
        <v>42</v>
      </c>
      <c r="C30" s="81" t="s">
        <v>68</v>
      </c>
      <c r="D30" s="103">
        <v>0</v>
      </c>
      <c r="E30" s="103">
        <v>0</v>
      </c>
      <c r="F30" s="103">
        <v>0</v>
      </c>
      <c r="G30" s="103">
        <v>0</v>
      </c>
      <c r="H30" s="103">
        <v>0</v>
      </c>
      <c r="I30" s="103">
        <v>0</v>
      </c>
    </row>
    <row r="31" spans="2:9" ht="16">
      <c r="B31" s="83" t="s">
        <v>43</v>
      </c>
      <c r="C31" s="81" t="s">
        <v>68</v>
      </c>
      <c r="D31" s="103">
        <v>0</v>
      </c>
      <c r="E31" s="103">
        <v>0</v>
      </c>
      <c r="F31" s="103">
        <v>0</v>
      </c>
      <c r="G31" s="103">
        <v>0</v>
      </c>
      <c r="H31" s="103">
        <v>0</v>
      </c>
      <c r="I31" s="103">
        <v>0</v>
      </c>
    </row>
    <row r="32" spans="2:9" ht="16">
      <c r="B32" s="83" t="s">
        <v>60</v>
      </c>
      <c r="C32" s="94" t="s">
        <v>73</v>
      </c>
      <c r="D32" s="103">
        <v>2</v>
      </c>
      <c r="E32" s="103">
        <v>0</v>
      </c>
      <c r="F32" s="103">
        <v>0</v>
      </c>
      <c r="G32" s="103">
        <v>4</v>
      </c>
      <c r="H32" s="103">
        <v>0</v>
      </c>
      <c r="I32" s="103">
        <v>0</v>
      </c>
    </row>
    <row r="33" spans="2:9" ht="16">
      <c r="B33" s="83" t="s">
        <v>44</v>
      </c>
      <c r="C33" s="94" t="s">
        <v>73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</row>
    <row r="34" spans="2:9" ht="16">
      <c r="B34" s="83" t="s">
        <v>45</v>
      </c>
      <c r="C34" s="94" t="s">
        <v>73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</row>
    <row r="35" spans="2:9" ht="16">
      <c r="B35" s="83" t="s">
        <v>46</v>
      </c>
      <c r="C35" s="94" t="s">
        <v>73</v>
      </c>
      <c r="D35" s="103">
        <v>0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</row>
    <row r="36" spans="2:9" ht="16">
      <c r="B36" s="83" t="s">
        <v>47</v>
      </c>
      <c r="C36" s="94" t="s">
        <v>73</v>
      </c>
      <c r="D36" s="103">
        <v>0</v>
      </c>
      <c r="E36" s="103">
        <v>0</v>
      </c>
      <c r="F36" s="103">
        <v>0</v>
      </c>
      <c r="G36" s="103">
        <v>0</v>
      </c>
      <c r="H36" s="103">
        <v>0</v>
      </c>
      <c r="I36" s="103">
        <v>0</v>
      </c>
    </row>
    <row r="37" spans="2:9" ht="16">
      <c r="B37" s="83" t="s">
        <v>48</v>
      </c>
      <c r="C37" s="94" t="s">
        <v>73</v>
      </c>
      <c r="D37" s="103">
        <v>0</v>
      </c>
      <c r="E37" s="103">
        <v>0</v>
      </c>
      <c r="F37" s="103">
        <v>0</v>
      </c>
      <c r="G37" s="103">
        <v>0</v>
      </c>
      <c r="H37" s="103">
        <v>0</v>
      </c>
      <c r="I37" s="103">
        <v>0</v>
      </c>
    </row>
    <row r="38" spans="2:9">
      <c r="B38" s="81" t="s">
        <v>49</v>
      </c>
      <c r="C38" s="94" t="s">
        <v>73</v>
      </c>
      <c r="D38" s="103">
        <v>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</row>
    <row r="39" spans="2:9" ht="16">
      <c r="B39" s="83" t="s">
        <v>61</v>
      </c>
      <c r="C39" s="94" t="s">
        <v>73</v>
      </c>
      <c r="D39" s="103">
        <v>0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</row>
    <row r="40" spans="2:9" ht="16">
      <c r="B40" s="83" t="s">
        <v>62</v>
      </c>
      <c r="C40" s="94" t="s">
        <v>73</v>
      </c>
      <c r="D40" s="103">
        <v>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</row>
    <row r="41" spans="2:9" ht="16">
      <c r="B41" s="83" t="s">
        <v>50</v>
      </c>
      <c r="C41" s="94" t="s">
        <v>73</v>
      </c>
      <c r="D41" s="103">
        <v>0</v>
      </c>
      <c r="E41" s="103">
        <v>0</v>
      </c>
      <c r="F41" s="103">
        <v>0</v>
      </c>
      <c r="G41" s="103">
        <v>0</v>
      </c>
      <c r="H41" s="103">
        <v>0</v>
      </c>
      <c r="I41" s="103">
        <v>0</v>
      </c>
    </row>
    <row r="42" spans="2:9" ht="16">
      <c r="B42" s="83" t="s">
        <v>51</v>
      </c>
      <c r="C42" s="94" t="s">
        <v>73</v>
      </c>
      <c r="D42" s="103">
        <v>0</v>
      </c>
      <c r="E42" s="103">
        <v>0</v>
      </c>
      <c r="F42" s="103">
        <v>0</v>
      </c>
      <c r="G42" s="103">
        <v>0</v>
      </c>
      <c r="H42" s="103">
        <v>0</v>
      </c>
      <c r="I42" s="103">
        <v>0</v>
      </c>
    </row>
    <row r="43" spans="2:9">
      <c r="B43" s="81" t="s">
        <v>52</v>
      </c>
      <c r="C43" s="81" t="s">
        <v>68</v>
      </c>
      <c r="D43" s="103">
        <v>2</v>
      </c>
      <c r="E43" s="103">
        <v>6</v>
      </c>
      <c r="F43" s="103">
        <v>0</v>
      </c>
      <c r="G43" s="103">
        <v>6</v>
      </c>
      <c r="H43" s="103">
        <v>5</v>
      </c>
      <c r="I43" s="103">
        <v>0</v>
      </c>
    </row>
    <row r="44" spans="2:9">
      <c r="B44" s="81" t="s">
        <v>63</v>
      </c>
      <c r="C44" s="81" t="s">
        <v>68</v>
      </c>
      <c r="D44" s="103">
        <v>0</v>
      </c>
      <c r="E44" s="103">
        <v>0</v>
      </c>
      <c r="F44" s="103">
        <v>0</v>
      </c>
      <c r="G44" s="103">
        <v>0</v>
      </c>
      <c r="H44" s="103">
        <v>0</v>
      </c>
      <c r="I44" s="103">
        <v>0</v>
      </c>
    </row>
    <row r="45" spans="2:9">
      <c r="B45" s="81" t="s">
        <v>64</v>
      </c>
      <c r="C45" s="81" t="s">
        <v>68</v>
      </c>
      <c r="D45" s="103">
        <v>0</v>
      </c>
      <c r="E45" s="103">
        <v>0</v>
      </c>
      <c r="F45" s="103">
        <v>0</v>
      </c>
      <c r="G45" s="103">
        <v>0</v>
      </c>
      <c r="H45" s="103">
        <v>0</v>
      </c>
      <c r="I45" s="103">
        <v>0</v>
      </c>
    </row>
    <row r="46" spans="2:9" ht="16">
      <c r="B46" s="83" t="s">
        <v>53</v>
      </c>
      <c r="C46" s="81" t="s">
        <v>82</v>
      </c>
      <c r="D46" s="103">
        <v>0</v>
      </c>
      <c r="E46" s="103">
        <v>0</v>
      </c>
      <c r="F46" s="103">
        <v>0</v>
      </c>
      <c r="G46" s="103">
        <v>0</v>
      </c>
      <c r="H46" s="103">
        <v>0</v>
      </c>
      <c r="I46" s="103">
        <v>0</v>
      </c>
    </row>
    <row r="47" spans="2:9">
      <c r="B47" s="81" t="s">
        <v>54</v>
      </c>
      <c r="C47" s="81" t="s">
        <v>69</v>
      </c>
      <c r="D47" s="103">
        <v>0</v>
      </c>
      <c r="E47" s="103">
        <v>0</v>
      </c>
      <c r="F47" s="103">
        <v>0</v>
      </c>
      <c r="G47" s="103">
        <v>0</v>
      </c>
      <c r="H47" s="103">
        <v>0</v>
      </c>
      <c r="I47" s="103">
        <v>0</v>
      </c>
    </row>
    <row r="48" spans="2:9" ht="16">
      <c r="B48" s="83" t="s">
        <v>55</v>
      </c>
      <c r="C48" s="94" t="s">
        <v>73</v>
      </c>
      <c r="D48" s="103">
        <v>0</v>
      </c>
      <c r="E48" s="103">
        <v>0</v>
      </c>
      <c r="F48" s="103">
        <v>0</v>
      </c>
      <c r="G48" s="103">
        <v>0</v>
      </c>
      <c r="H48" s="103">
        <v>0</v>
      </c>
      <c r="I48" s="103">
        <v>0</v>
      </c>
    </row>
    <row r="49" spans="2:9">
      <c r="B49" s="81" t="s">
        <v>71</v>
      </c>
      <c r="C49" s="94" t="s">
        <v>109</v>
      </c>
      <c r="D49" s="103">
        <v>0</v>
      </c>
      <c r="E49" s="103">
        <v>0</v>
      </c>
      <c r="F49" s="103">
        <v>0</v>
      </c>
      <c r="G49" s="103">
        <v>0</v>
      </c>
      <c r="H49" s="103">
        <v>47</v>
      </c>
      <c r="I49" s="103">
        <v>0</v>
      </c>
    </row>
    <row r="50" spans="2:9" ht="16">
      <c r="B50" s="83" t="s">
        <v>72</v>
      </c>
      <c r="C50" s="81" t="s">
        <v>73</v>
      </c>
      <c r="D50" s="103">
        <v>0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</row>
    <row r="51" spans="2:9">
      <c r="B51" s="81" t="s">
        <v>74</v>
      </c>
      <c r="C51" s="94" t="s">
        <v>109</v>
      </c>
      <c r="D51" s="103">
        <v>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</row>
    <row r="52" spans="2:9">
      <c r="B52" s="84" t="s">
        <v>149</v>
      </c>
      <c r="C52" s="84" t="s">
        <v>154</v>
      </c>
      <c r="D52" s="109">
        <v>2</v>
      </c>
      <c r="E52" s="103">
        <v>0</v>
      </c>
      <c r="F52" s="103">
        <v>0</v>
      </c>
      <c r="G52" s="103">
        <v>0</v>
      </c>
      <c r="H52" s="103">
        <v>0</v>
      </c>
      <c r="I52" s="103">
        <v>0</v>
      </c>
    </row>
    <row r="53" spans="2:9">
      <c r="B53" s="84" t="s">
        <v>279</v>
      </c>
      <c r="C53" s="84" t="s">
        <v>154</v>
      </c>
      <c r="D53" s="103">
        <v>0</v>
      </c>
      <c r="E53" s="109">
        <v>4</v>
      </c>
      <c r="F53" s="103">
        <v>0</v>
      </c>
      <c r="G53" s="103">
        <v>0</v>
      </c>
      <c r="H53" s="103">
        <v>0</v>
      </c>
      <c r="I53" s="103">
        <v>0</v>
      </c>
    </row>
    <row r="54" spans="2:9">
      <c r="B54" s="84" t="s">
        <v>151</v>
      </c>
      <c r="C54" s="84" t="s">
        <v>154</v>
      </c>
      <c r="D54" s="103">
        <v>0</v>
      </c>
      <c r="E54" s="103">
        <v>0</v>
      </c>
      <c r="F54" s="103">
        <v>0</v>
      </c>
      <c r="G54" s="109">
        <v>0.5</v>
      </c>
      <c r="H54" s="103">
        <v>0</v>
      </c>
      <c r="I54" s="103">
        <v>0</v>
      </c>
    </row>
    <row r="55" spans="2:9">
      <c r="B55" s="84" t="s">
        <v>152</v>
      </c>
      <c r="C55" s="84" t="s">
        <v>154</v>
      </c>
      <c r="D55" s="103">
        <v>0</v>
      </c>
      <c r="E55" s="103">
        <v>0</v>
      </c>
      <c r="F55" s="103">
        <v>0</v>
      </c>
      <c r="G55" s="103">
        <v>0</v>
      </c>
      <c r="H55" s="109">
        <v>0.5</v>
      </c>
      <c r="I55" s="103">
        <v>0</v>
      </c>
    </row>
    <row r="56" spans="2:9">
      <c r="B56" s="84" t="s">
        <v>153</v>
      </c>
      <c r="C56" s="84" t="s">
        <v>155</v>
      </c>
      <c r="D56" s="103">
        <v>0</v>
      </c>
      <c r="E56" s="103">
        <v>0</v>
      </c>
      <c r="F56" s="103">
        <v>0</v>
      </c>
      <c r="G56" s="103">
        <v>0</v>
      </c>
      <c r="H56" s="103">
        <v>0</v>
      </c>
      <c r="I56" s="109">
        <v>8</v>
      </c>
    </row>
    <row r="57" spans="2:9">
      <c r="B57" s="84" t="s">
        <v>169</v>
      </c>
      <c r="C57" s="84" t="s">
        <v>154</v>
      </c>
      <c r="D57" s="103">
        <v>0</v>
      </c>
      <c r="E57" s="103">
        <v>0</v>
      </c>
      <c r="F57" s="103">
        <v>0</v>
      </c>
      <c r="G57" s="103">
        <v>0</v>
      </c>
      <c r="H57" s="103">
        <v>0</v>
      </c>
      <c r="I57" s="103">
        <v>0.25</v>
      </c>
    </row>
  </sheetData>
  <sheetProtection sheet="1" objects="1" scenarios="1"/>
  <dataValidations count="1">
    <dataValidation type="list" allowBlank="1" showInputMessage="1" showErrorMessage="1" sqref="B11">
      <formula1>$D$11:$N$11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COTM_update">
                <anchor moveWithCells="1" sizeWithCells="1">
                  <from>
                    <xdr:col>1</xdr:col>
                    <xdr:colOff>1079500</xdr:colOff>
                    <xdr:row>1</xdr:row>
                    <xdr:rowOff>88900</xdr:rowOff>
                  </from>
                  <to>
                    <xdr:col>3</xdr:col>
                    <xdr:colOff>1066800</xdr:colOff>
                    <xdr:row>5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3:M52"/>
  <sheetViews>
    <sheetView showRuler="0" workbookViewId="0">
      <selection activeCell="B7" sqref="B7"/>
    </sheetView>
  </sheetViews>
  <sheetFormatPr baseColWidth="10" defaultRowHeight="15" x14ac:dyDescent="0"/>
  <cols>
    <col min="1" max="1" width="22.6640625" customWidth="1"/>
    <col min="2" max="2" width="14.33203125" customWidth="1"/>
    <col min="3" max="4" width="14.5" customWidth="1"/>
    <col min="5" max="5" width="10" customWidth="1"/>
    <col min="6" max="6" width="10.6640625" customWidth="1"/>
    <col min="8" max="8" width="19.83203125" customWidth="1"/>
    <col min="9" max="9" width="21.83203125" customWidth="1"/>
    <col min="11" max="11" width="22.83203125" bestFit="1" customWidth="1"/>
    <col min="13" max="13" width="14.6640625" bestFit="1" customWidth="1"/>
    <col min="14" max="14" width="23.6640625" customWidth="1"/>
  </cols>
  <sheetData>
    <row r="3" spans="1:13">
      <c r="G3" s="27" t="s">
        <v>187</v>
      </c>
    </row>
    <row r="5" spans="1:13">
      <c r="G5" s="171" t="s">
        <v>174</v>
      </c>
      <c r="H5" s="172"/>
      <c r="I5" s="173"/>
    </row>
    <row r="6" spans="1:13" ht="60">
      <c r="A6" s="56" t="s">
        <v>177</v>
      </c>
      <c r="B6" s="56" t="s">
        <v>70</v>
      </c>
      <c r="C6" s="56" t="s">
        <v>182</v>
      </c>
      <c r="D6" s="56" t="s">
        <v>181</v>
      </c>
      <c r="E6" s="56" t="s">
        <v>91</v>
      </c>
      <c r="F6" s="56" t="s">
        <v>183</v>
      </c>
      <c r="G6" s="114" t="s">
        <v>176</v>
      </c>
      <c r="H6" s="115" t="s">
        <v>80</v>
      </c>
      <c r="I6" s="115" t="s">
        <v>177</v>
      </c>
      <c r="J6" s="52" t="s">
        <v>121</v>
      </c>
      <c r="K6" s="53" t="s">
        <v>179</v>
      </c>
      <c r="L6" s="54" t="s">
        <v>180</v>
      </c>
      <c r="M6" s="55" t="s">
        <v>178</v>
      </c>
    </row>
    <row r="7" spans="1:13" ht="16">
      <c r="A7" s="81" t="s">
        <v>27</v>
      </c>
      <c r="B7" s="82" t="s">
        <v>109</v>
      </c>
      <c r="C7" s="51">
        <f ca="1">SUMPRODUCT(thisweek_batch,Ingredient_Inventory!D13:Y13)</f>
        <v>0</v>
      </c>
      <c r="D7" s="102">
        <v>0</v>
      </c>
      <c r="E7" s="122">
        <v>5</v>
      </c>
      <c r="F7" s="112">
        <v>800</v>
      </c>
      <c r="G7" s="116">
        <f ca="1">IF((C7&gt;=D7),CEILING((C7-D7 +E7)/F7,1),0)</f>
        <v>1</v>
      </c>
      <c r="H7" s="117" t="s">
        <v>76</v>
      </c>
      <c r="I7" s="118" t="s">
        <v>27</v>
      </c>
      <c r="J7" s="122">
        <v>1</v>
      </c>
      <c r="K7" s="42" t="s">
        <v>116</v>
      </c>
      <c r="L7" s="42">
        <f>F7</f>
        <v>800</v>
      </c>
      <c r="M7" s="39">
        <f t="shared" ref="M7:M52" si="0">L7*J7</f>
        <v>800</v>
      </c>
    </row>
    <row r="8" spans="1:13" ht="16">
      <c r="A8" s="81" t="s">
        <v>28</v>
      </c>
      <c r="B8" s="82" t="s">
        <v>73</v>
      </c>
      <c r="C8" s="51">
        <f ca="1">SUMPRODUCT(thisweek_batch,Ingredient_Inventory!D14:Y14)</f>
        <v>0</v>
      </c>
      <c r="D8" s="102">
        <v>0</v>
      </c>
      <c r="E8" s="122">
        <v>5</v>
      </c>
      <c r="F8" s="112">
        <v>6</v>
      </c>
      <c r="G8" s="116">
        <f t="shared" ref="G8:G52" ca="1" si="1">IF((C8&gt;=D8),CEILING((C8-D8 +E8)/F8,1),0)</f>
        <v>1</v>
      </c>
      <c r="H8" s="117" t="s">
        <v>93</v>
      </c>
      <c r="I8" s="118" t="s">
        <v>28</v>
      </c>
      <c r="J8" s="122">
        <v>1</v>
      </c>
      <c r="K8" s="39" t="s">
        <v>85</v>
      </c>
      <c r="L8" s="42">
        <f t="shared" ref="L8:L46" si="2">F8</f>
        <v>6</v>
      </c>
      <c r="M8" s="39">
        <f t="shared" si="0"/>
        <v>6</v>
      </c>
    </row>
    <row r="9" spans="1:13" ht="16">
      <c r="A9" s="81" t="s">
        <v>29</v>
      </c>
      <c r="B9" s="82" t="s">
        <v>109</v>
      </c>
      <c r="C9" s="51">
        <f ca="1">SUMPRODUCT(thisweek_batch,Ingredient_Inventory!D15:Y15)</f>
        <v>0</v>
      </c>
      <c r="D9" s="102">
        <v>0</v>
      </c>
      <c r="E9" s="122">
        <v>5</v>
      </c>
      <c r="F9" s="112">
        <f>16*30</f>
        <v>480</v>
      </c>
      <c r="G9" s="116">
        <f t="shared" ca="1" si="1"/>
        <v>1</v>
      </c>
      <c r="H9" s="117" t="s">
        <v>83</v>
      </c>
      <c r="I9" s="118" t="s">
        <v>29</v>
      </c>
      <c r="J9" s="122">
        <v>1</v>
      </c>
      <c r="K9" s="39" t="s">
        <v>89</v>
      </c>
      <c r="L9" s="42">
        <f t="shared" si="2"/>
        <v>480</v>
      </c>
      <c r="M9" s="39">
        <f t="shared" si="0"/>
        <v>480</v>
      </c>
    </row>
    <row r="10" spans="1:13" ht="16">
      <c r="A10" s="81" t="s">
        <v>30</v>
      </c>
      <c r="B10" s="82" t="s">
        <v>109</v>
      </c>
      <c r="C10" s="51">
        <f ca="1">SUMPRODUCT(thisweek_batch,Ingredient_Inventory!D16:Y16)</f>
        <v>0</v>
      </c>
      <c r="D10" s="102">
        <v>0</v>
      </c>
      <c r="E10" s="122">
        <v>5</v>
      </c>
      <c r="F10" s="112">
        <v>16</v>
      </c>
      <c r="G10" s="116">
        <f t="shared" ca="1" si="1"/>
        <v>1</v>
      </c>
      <c r="H10" s="95" t="s">
        <v>94</v>
      </c>
      <c r="I10" s="119" t="s">
        <v>30</v>
      </c>
      <c r="J10" s="122">
        <v>1</v>
      </c>
      <c r="K10" s="39" t="s">
        <v>89</v>
      </c>
      <c r="L10" s="42">
        <f t="shared" si="2"/>
        <v>16</v>
      </c>
      <c r="M10" s="39">
        <f t="shared" si="0"/>
        <v>16</v>
      </c>
    </row>
    <row r="11" spans="1:13" ht="16">
      <c r="A11" s="81" t="s">
        <v>57</v>
      </c>
      <c r="B11" s="81" t="s">
        <v>68</v>
      </c>
      <c r="C11" s="51">
        <f ca="1">SUMPRODUCT(thisweek_batch,Ingredient_Inventory!D17:Y17)</f>
        <v>0</v>
      </c>
      <c r="D11" s="102">
        <v>0</v>
      </c>
      <c r="E11" s="122">
        <v>5</v>
      </c>
      <c r="F11" s="112">
        <v>80</v>
      </c>
      <c r="G11" s="116">
        <f t="shared" ca="1" si="1"/>
        <v>1</v>
      </c>
      <c r="H11" s="117" t="s">
        <v>94</v>
      </c>
      <c r="I11" s="118" t="s">
        <v>57</v>
      </c>
      <c r="J11" s="122">
        <v>1</v>
      </c>
      <c r="K11" s="39" t="s">
        <v>114</v>
      </c>
      <c r="L11" s="42">
        <f t="shared" si="2"/>
        <v>80</v>
      </c>
      <c r="M11" s="39">
        <f t="shared" si="0"/>
        <v>80</v>
      </c>
    </row>
    <row r="12" spans="1:13" ht="16">
      <c r="A12" s="81" t="s">
        <v>58</v>
      </c>
      <c r="B12" s="81" t="s">
        <v>68</v>
      </c>
      <c r="C12" s="51">
        <f ca="1">SUMPRODUCT(thisweek_batch,Ingredient_Inventory!D18:Y18)</f>
        <v>0</v>
      </c>
      <c r="D12" s="102">
        <v>0</v>
      </c>
      <c r="E12" s="122">
        <v>5</v>
      </c>
      <c r="F12" s="112">
        <v>47</v>
      </c>
      <c r="G12" s="116">
        <f t="shared" ca="1" si="1"/>
        <v>1</v>
      </c>
      <c r="H12" s="117" t="s">
        <v>95</v>
      </c>
      <c r="I12" s="118" t="s">
        <v>58</v>
      </c>
      <c r="J12" s="122">
        <v>1</v>
      </c>
      <c r="K12" s="39" t="s">
        <v>114</v>
      </c>
      <c r="L12" s="42">
        <f t="shared" si="2"/>
        <v>47</v>
      </c>
      <c r="M12" s="39">
        <f t="shared" si="0"/>
        <v>47</v>
      </c>
    </row>
    <row r="13" spans="1:13" ht="16">
      <c r="A13" s="81" t="s">
        <v>31</v>
      </c>
      <c r="B13" s="81" t="s">
        <v>68</v>
      </c>
      <c r="C13" s="51">
        <f ca="1">SUMPRODUCT(thisweek_batch,Ingredient_Inventory!D19:Y19)</f>
        <v>0</v>
      </c>
      <c r="D13" s="102">
        <v>0</v>
      </c>
      <c r="E13" s="122">
        <v>0</v>
      </c>
      <c r="F13" s="112">
        <v>130</v>
      </c>
      <c r="G13" s="116">
        <f t="shared" ca="1" si="1"/>
        <v>0</v>
      </c>
      <c r="H13" s="117" t="s">
        <v>96</v>
      </c>
      <c r="I13" s="118" t="s">
        <v>31</v>
      </c>
      <c r="J13" s="122">
        <v>0</v>
      </c>
      <c r="K13" s="39" t="s">
        <v>114</v>
      </c>
      <c r="L13" s="42">
        <f t="shared" si="2"/>
        <v>130</v>
      </c>
      <c r="M13" s="39">
        <f t="shared" si="0"/>
        <v>0</v>
      </c>
    </row>
    <row r="14" spans="1:13" ht="16">
      <c r="A14" s="83" t="s">
        <v>32</v>
      </c>
      <c r="B14" s="81" t="s">
        <v>82</v>
      </c>
      <c r="C14" s="51">
        <f ca="1">SUMPRODUCT(thisweek_batch,Ingredient_Inventory!D20:Y20)</f>
        <v>0</v>
      </c>
      <c r="D14" s="102">
        <v>0</v>
      </c>
      <c r="E14" s="122">
        <v>0</v>
      </c>
      <c r="F14" s="112">
        <v>60</v>
      </c>
      <c r="G14" s="116">
        <f t="shared" ca="1" si="1"/>
        <v>0</v>
      </c>
      <c r="H14" s="95" t="s">
        <v>97</v>
      </c>
      <c r="I14" s="119" t="s">
        <v>32</v>
      </c>
      <c r="J14" s="122">
        <v>0</v>
      </c>
      <c r="K14" s="39" t="s">
        <v>88</v>
      </c>
      <c r="L14" s="42">
        <f t="shared" si="2"/>
        <v>60</v>
      </c>
      <c r="M14" s="39">
        <f t="shared" si="0"/>
        <v>0</v>
      </c>
    </row>
    <row r="15" spans="1:13" ht="16">
      <c r="A15" s="83" t="s">
        <v>33</v>
      </c>
      <c r="B15" s="82" t="s">
        <v>109</v>
      </c>
      <c r="C15" s="51">
        <f ca="1">SUMPRODUCT(thisweek_batch,Ingredient_Inventory!D21:Y21)</f>
        <v>0</v>
      </c>
      <c r="D15" s="102">
        <v>0</v>
      </c>
      <c r="E15" s="122">
        <v>0</v>
      </c>
      <c r="F15" s="112">
        <v>800</v>
      </c>
      <c r="G15" s="116">
        <f t="shared" ca="1" si="1"/>
        <v>0</v>
      </c>
      <c r="H15" s="95" t="s">
        <v>76</v>
      </c>
      <c r="I15" s="119" t="s">
        <v>33</v>
      </c>
      <c r="J15" s="122">
        <v>0</v>
      </c>
      <c r="K15" s="39" t="s">
        <v>115</v>
      </c>
      <c r="L15" s="42">
        <f t="shared" si="2"/>
        <v>800</v>
      </c>
      <c r="M15" s="39">
        <f t="shared" si="0"/>
        <v>0</v>
      </c>
    </row>
    <row r="16" spans="1:13" ht="16">
      <c r="A16" s="83" t="s">
        <v>34</v>
      </c>
      <c r="B16" s="82" t="s">
        <v>109</v>
      </c>
      <c r="C16" s="51">
        <f ca="1">SUMPRODUCT(thisweek_batch,Ingredient_Inventory!D22:Y22)</f>
        <v>0</v>
      </c>
      <c r="D16" s="102">
        <v>0</v>
      </c>
      <c r="E16" s="122">
        <v>0</v>
      </c>
      <c r="F16" s="112">
        <v>800</v>
      </c>
      <c r="G16" s="116">
        <f t="shared" ca="1" si="1"/>
        <v>0</v>
      </c>
      <c r="H16" s="95" t="s">
        <v>76</v>
      </c>
      <c r="I16" s="119" t="s">
        <v>34</v>
      </c>
      <c r="J16" s="122">
        <v>0</v>
      </c>
      <c r="K16" s="39" t="s">
        <v>115</v>
      </c>
      <c r="L16" s="42">
        <f t="shared" si="2"/>
        <v>800</v>
      </c>
      <c r="M16" s="39">
        <f t="shared" si="0"/>
        <v>0</v>
      </c>
    </row>
    <row r="17" spans="1:13" ht="16">
      <c r="A17" s="83" t="s">
        <v>59</v>
      </c>
      <c r="B17" s="82" t="s">
        <v>110</v>
      </c>
      <c r="C17" s="51">
        <f ca="1">SUMPRODUCT(thisweek_batch,Ingredient_Inventory!D23:Y23)</f>
        <v>0</v>
      </c>
      <c r="D17" s="102">
        <v>0</v>
      </c>
      <c r="E17" s="122">
        <v>0</v>
      </c>
      <c r="F17" s="112">
        <v>133</v>
      </c>
      <c r="G17" s="116">
        <f t="shared" ca="1" si="1"/>
        <v>0</v>
      </c>
      <c r="H17" s="95" t="s">
        <v>98</v>
      </c>
      <c r="I17" s="119" t="s">
        <v>59</v>
      </c>
      <c r="J17" s="122">
        <v>0</v>
      </c>
      <c r="K17" s="39" t="s">
        <v>114</v>
      </c>
      <c r="L17" s="42">
        <f t="shared" si="2"/>
        <v>133</v>
      </c>
      <c r="M17" s="39">
        <f t="shared" si="0"/>
        <v>0</v>
      </c>
    </row>
    <row r="18" spans="1:13" ht="16">
      <c r="A18" s="83" t="s">
        <v>35</v>
      </c>
      <c r="B18" s="82" t="s">
        <v>73</v>
      </c>
      <c r="C18" s="51">
        <f ca="1">SUMPRODUCT(thisweek_batch,Ingredient_Inventory!D24:Y24)</f>
        <v>0</v>
      </c>
      <c r="D18" s="102">
        <v>0</v>
      </c>
      <c r="E18" s="122">
        <v>0</v>
      </c>
      <c r="F18" s="112">
        <v>95</v>
      </c>
      <c r="G18" s="116">
        <f t="shared" ca="1" si="1"/>
        <v>0</v>
      </c>
      <c r="H18" s="95" t="s">
        <v>99</v>
      </c>
      <c r="I18" s="119" t="s">
        <v>35</v>
      </c>
      <c r="J18" s="122">
        <v>0</v>
      </c>
      <c r="K18" s="39" t="s">
        <v>118</v>
      </c>
      <c r="L18" s="42">
        <f t="shared" si="2"/>
        <v>95</v>
      </c>
      <c r="M18" s="39">
        <f t="shared" si="0"/>
        <v>0</v>
      </c>
    </row>
    <row r="19" spans="1:13" ht="16">
      <c r="A19" s="83" t="s">
        <v>36</v>
      </c>
      <c r="B19" s="82" t="s">
        <v>73</v>
      </c>
      <c r="C19" s="51">
        <f ca="1">SUMPRODUCT(thisweek_batch,Ingredient_Inventory!D25:Y25)</f>
        <v>0</v>
      </c>
      <c r="D19" s="102">
        <v>0</v>
      </c>
      <c r="E19" s="122">
        <v>0</v>
      </c>
      <c r="F19" s="112">
        <v>121</v>
      </c>
      <c r="G19" s="116">
        <f t="shared" ca="1" si="1"/>
        <v>0</v>
      </c>
      <c r="H19" s="95" t="s">
        <v>99</v>
      </c>
      <c r="I19" s="119" t="s">
        <v>36</v>
      </c>
      <c r="J19" s="122">
        <v>0</v>
      </c>
      <c r="K19" s="39" t="s">
        <v>118</v>
      </c>
      <c r="L19" s="42">
        <f t="shared" si="2"/>
        <v>121</v>
      </c>
      <c r="M19" s="39">
        <f t="shared" si="0"/>
        <v>0</v>
      </c>
    </row>
    <row r="20" spans="1:13" ht="16">
      <c r="A20" s="83" t="s">
        <v>37</v>
      </c>
      <c r="B20" s="82" t="s">
        <v>109</v>
      </c>
      <c r="C20" s="51">
        <f ca="1">SUMPRODUCT(thisweek_batch,Ingredient_Inventory!D26:Y26)</f>
        <v>0</v>
      </c>
      <c r="D20" s="102">
        <v>0</v>
      </c>
      <c r="E20" s="122">
        <v>0</v>
      </c>
      <c r="F20" s="71">
        <v>800</v>
      </c>
      <c r="G20" s="116">
        <f t="shared" ca="1" si="1"/>
        <v>0</v>
      </c>
      <c r="H20" s="95" t="s">
        <v>76</v>
      </c>
      <c r="I20" s="119" t="s">
        <v>37</v>
      </c>
      <c r="J20" s="122">
        <v>0</v>
      </c>
      <c r="K20" s="39" t="s">
        <v>115</v>
      </c>
      <c r="L20" s="42">
        <f t="shared" si="2"/>
        <v>800</v>
      </c>
      <c r="M20" s="39">
        <f t="shared" si="0"/>
        <v>0</v>
      </c>
    </row>
    <row r="21" spans="1:13" ht="16">
      <c r="A21" s="83" t="s">
        <v>38</v>
      </c>
      <c r="B21" s="81" t="s">
        <v>69</v>
      </c>
      <c r="C21" s="51">
        <f ca="1">SUMPRODUCT(thisweek_batch,Ingredient_Inventory!D27:Y27)</f>
        <v>0</v>
      </c>
      <c r="D21" s="102">
        <v>0</v>
      </c>
      <c r="E21" s="122">
        <v>0</v>
      </c>
      <c r="F21" s="112">
        <v>40</v>
      </c>
      <c r="G21" s="116">
        <f t="shared" ca="1" si="1"/>
        <v>0</v>
      </c>
      <c r="H21" s="95" t="s">
        <v>77</v>
      </c>
      <c r="I21" s="119" t="s">
        <v>38</v>
      </c>
      <c r="J21" s="122">
        <v>0</v>
      </c>
      <c r="K21" s="39" t="s">
        <v>115</v>
      </c>
      <c r="L21" s="42">
        <f t="shared" si="2"/>
        <v>40</v>
      </c>
      <c r="M21" s="39">
        <f t="shared" si="0"/>
        <v>0</v>
      </c>
    </row>
    <row r="22" spans="1:13" ht="16">
      <c r="A22" s="83" t="s">
        <v>39</v>
      </c>
      <c r="B22" s="82" t="s">
        <v>109</v>
      </c>
      <c r="C22" s="51">
        <f ca="1">SUMPRODUCT(thisweek_batch,Ingredient_Inventory!D28:Y28)</f>
        <v>0</v>
      </c>
      <c r="D22" s="102">
        <v>0</v>
      </c>
      <c r="E22" s="122">
        <v>0</v>
      </c>
      <c r="F22" s="112">
        <v>800</v>
      </c>
      <c r="G22" s="116">
        <f t="shared" ca="1" si="1"/>
        <v>0</v>
      </c>
      <c r="H22" s="95" t="s">
        <v>76</v>
      </c>
      <c r="I22" s="119" t="s">
        <v>39</v>
      </c>
      <c r="J22" s="122">
        <v>0</v>
      </c>
      <c r="K22" s="39" t="s">
        <v>115</v>
      </c>
      <c r="L22" s="42">
        <f t="shared" si="2"/>
        <v>800</v>
      </c>
      <c r="M22" s="39">
        <f t="shared" si="0"/>
        <v>0</v>
      </c>
    </row>
    <row r="23" spans="1:13" ht="16">
      <c r="A23" s="83" t="s">
        <v>40</v>
      </c>
      <c r="B23" s="82" t="s">
        <v>73</v>
      </c>
      <c r="C23" s="51">
        <f ca="1">SUMPRODUCT(thisweek_batch,Ingredient_Inventory!D29:Y29)</f>
        <v>0</v>
      </c>
      <c r="D23" s="102">
        <v>0</v>
      </c>
      <c r="E23" s="122">
        <v>0</v>
      </c>
      <c r="F23" s="112">
        <v>16</v>
      </c>
      <c r="G23" s="116">
        <f t="shared" ca="1" si="1"/>
        <v>0</v>
      </c>
      <c r="H23" s="95" t="s">
        <v>84</v>
      </c>
      <c r="I23" s="119" t="s">
        <v>40</v>
      </c>
      <c r="J23" s="122">
        <v>0</v>
      </c>
      <c r="K23" s="39" t="s">
        <v>86</v>
      </c>
      <c r="L23" s="42">
        <f t="shared" si="2"/>
        <v>16</v>
      </c>
      <c r="M23" s="39">
        <f t="shared" si="0"/>
        <v>0</v>
      </c>
    </row>
    <row r="24" spans="1:13" ht="16">
      <c r="A24" s="83" t="s">
        <v>41</v>
      </c>
      <c r="B24" s="81" t="s">
        <v>68</v>
      </c>
      <c r="C24" s="51">
        <f ca="1">SUMPRODUCT(thisweek_batch,Ingredient_Inventory!D30:Y30)</f>
        <v>0</v>
      </c>
      <c r="D24" s="102">
        <v>0</v>
      </c>
      <c r="E24" s="122">
        <v>0</v>
      </c>
      <c r="F24" s="112">
        <v>133.30000000000001</v>
      </c>
      <c r="G24" s="116">
        <f t="shared" ca="1" si="1"/>
        <v>0</v>
      </c>
      <c r="H24" s="95" t="s">
        <v>98</v>
      </c>
      <c r="I24" s="119" t="s">
        <v>41</v>
      </c>
      <c r="J24" s="122">
        <v>0</v>
      </c>
      <c r="K24" s="39" t="s">
        <v>114</v>
      </c>
      <c r="L24" s="42">
        <f t="shared" si="2"/>
        <v>133.30000000000001</v>
      </c>
      <c r="M24" s="39">
        <f t="shared" si="0"/>
        <v>0</v>
      </c>
    </row>
    <row r="25" spans="1:13" ht="16">
      <c r="A25" s="83" t="s">
        <v>42</v>
      </c>
      <c r="B25" s="81" t="s">
        <v>68</v>
      </c>
      <c r="C25" s="51">
        <f ca="1">SUMPRODUCT(thisweek_batch,Ingredient_Inventory!D31:Y31)</f>
        <v>0</v>
      </c>
      <c r="D25" s="102">
        <v>0</v>
      </c>
      <c r="E25" s="122">
        <v>0</v>
      </c>
      <c r="F25" s="112">
        <v>177.8</v>
      </c>
      <c r="G25" s="116">
        <f t="shared" ca="1" si="1"/>
        <v>0</v>
      </c>
      <c r="H25" s="95" t="s">
        <v>98</v>
      </c>
      <c r="I25" s="119" t="s">
        <v>42</v>
      </c>
      <c r="J25" s="122">
        <v>0</v>
      </c>
      <c r="K25" s="39" t="s">
        <v>114</v>
      </c>
      <c r="L25" s="42">
        <f t="shared" si="2"/>
        <v>177.8</v>
      </c>
      <c r="M25" s="39">
        <f t="shared" si="0"/>
        <v>0</v>
      </c>
    </row>
    <row r="26" spans="1:13" ht="16">
      <c r="A26" s="83" t="s">
        <v>43</v>
      </c>
      <c r="B26" s="81" t="s">
        <v>68</v>
      </c>
      <c r="C26" s="51">
        <f ca="1">SUMPRODUCT(thisweek_batch,Ingredient_Inventory!D32:Y32)</f>
        <v>0</v>
      </c>
      <c r="D26" s="102">
        <v>0</v>
      </c>
      <c r="E26" s="122">
        <v>0</v>
      </c>
      <c r="F26" s="112">
        <v>320</v>
      </c>
      <c r="G26" s="116">
        <f t="shared" ca="1" si="1"/>
        <v>0</v>
      </c>
      <c r="H26" s="95" t="s">
        <v>98</v>
      </c>
      <c r="I26" s="119" t="s">
        <v>43</v>
      </c>
      <c r="J26" s="122">
        <v>0</v>
      </c>
      <c r="K26" s="39" t="s">
        <v>114</v>
      </c>
      <c r="L26" s="42">
        <f t="shared" si="2"/>
        <v>320</v>
      </c>
      <c r="M26" s="39">
        <f t="shared" si="0"/>
        <v>0</v>
      </c>
    </row>
    <row r="27" spans="1:13" ht="16">
      <c r="A27" s="83" t="s">
        <v>60</v>
      </c>
      <c r="B27" s="82" t="s">
        <v>73</v>
      </c>
      <c r="C27" s="51">
        <f ca="1">SUMPRODUCT(thisweek_batch,Ingredient_Inventory!D33:Y33)</f>
        <v>0</v>
      </c>
      <c r="D27" s="102">
        <v>0</v>
      </c>
      <c r="E27" s="122">
        <v>0</v>
      </c>
      <c r="F27" s="112">
        <v>58.739999999999995</v>
      </c>
      <c r="G27" s="116">
        <f t="shared" ca="1" si="1"/>
        <v>0</v>
      </c>
      <c r="H27" s="95" t="s">
        <v>102</v>
      </c>
      <c r="I27" s="119" t="s">
        <v>60</v>
      </c>
      <c r="J27" s="122">
        <v>0</v>
      </c>
      <c r="K27" s="39" t="s">
        <v>87</v>
      </c>
      <c r="L27" s="42">
        <f t="shared" si="2"/>
        <v>58.739999999999995</v>
      </c>
      <c r="M27" s="39">
        <f t="shared" si="0"/>
        <v>0</v>
      </c>
    </row>
    <row r="28" spans="1:13" ht="16">
      <c r="A28" s="83" t="s">
        <v>44</v>
      </c>
      <c r="B28" s="82" t="s">
        <v>73</v>
      </c>
      <c r="C28" s="51">
        <f ca="1">SUMPRODUCT(thisweek_batch,Ingredient_Inventory!D34:Y34)</f>
        <v>0</v>
      </c>
      <c r="D28" s="102">
        <v>0</v>
      </c>
      <c r="E28" s="122">
        <v>0</v>
      </c>
      <c r="F28" s="112">
        <v>2.67</v>
      </c>
      <c r="G28" s="116">
        <f t="shared" ca="1" si="1"/>
        <v>0</v>
      </c>
      <c r="H28" s="95" t="s">
        <v>103</v>
      </c>
      <c r="I28" s="119" t="s">
        <v>44</v>
      </c>
      <c r="J28" s="122">
        <v>0</v>
      </c>
      <c r="K28" s="39" t="s">
        <v>87</v>
      </c>
      <c r="L28" s="42">
        <f t="shared" si="2"/>
        <v>2.67</v>
      </c>
      <c r="M28" s="39">
        <f t="shared" si="0"/>
        <v>0</v>
      </c>
    </row>
    <row r="29" spans="1:13" ht="16">
      <c r="A29" s="83" t="s">
        <v>45</v>
      </c>
      <c r="B29" s="82" t="s">
        <v>73</v>
      </c>
      <c r="C29" s="51">
        <f ca="1">SUMPRODUCT(thisweek_batch,Ingredient_Inventory!D35:Y35)</f>
        <v>0</v>
      </c>
      <c r="D29" s="102">
        <v>0</v>
      </c>
      <c r="E29" s="122">
        <v>0</v>
      </c>
      <c r="F29" s="112">
        <v>2.67</v>
      </c>
      <c r="G29" s="116">
        <f t="shared" ca="1" si="1"/>
        <v>0</v>
      </c>
      <c r="H29" s="95" t="s">
        <v>103</v>
      </c>
      <c r="I29" s="119" t="s">
        <v>45</v>
      </c>
      <c r="J29" s="122">
        <v>0</v>
      </c>
      <c r="K29" s="39" t="s">
        <v>87</v>
      </c>
      <c r="L29" s="42">
        <f t="shared" si="2"/>
        <v>2.67</v>
      </c>
      <c r="M29" s="39">
        <f t="shared" si="0"/>
        <v>0</v>
      </c>
    </row>
    <row r="30" spans="1:13" ht="16">
      <c r="A30" s="83" t="s">
        <v>46</v>
      </c>
      <c r="B30" s="82" t="s">
        <v>73</v>
      </c>
      <c r="C30" s="51">
        <f ca="1">SUMPRODUCT(thisweek_batch,Ingredient_Inventory!D36:Y36)</f>
        <v>0</v>
      </c>
      <c r="D30" s="102">
        <v>0</v>
      </c>
      <c r="E30" s="122">
        <v>0</v>
      </c>
      <c r="F30" s="112">
        <v>2.67</v>
      </c>
      <c r="G30" s="116">
        <f t="shared" ca="1" si="1"/>
        <v>0</v>
      </c>
      <c r="H30" s="95" t="s">
        <v>103</v>
      </c>
      <c r="I30" s="119" t="s">
        <v>46</v>
      </c>
      <c r="J30" s="122">
        <v>0</v>
      </c>
      <c r="K30" s="39" t="s">
        <v>87</v>
      </c>
      <c r="L30" s="42">
        <f t="shared" si="2"/>
        <v>2.67</v>
      </c>
      <c r="M30" s="39">
        <f t="shared" si="0"/>
        <v>0</v>
      </c>
    </row>
    <row r="31" spans="1:13" ht="16">
      <c r="A31" s="83" t="s">
        <v>47</v>
      </c>
      <c r="B31" s="82" t="s">
        <v>73</v>
      </c>
      <c r="C31" s="51">
        <f ca="1">SUMPRODUCT(thisweek_batch,Ingredient_Inventory!D37:Y37)</f>
        <v>0</v>
      </c>
      <c r="D31" s="102">
        <v>0</v>
      </c>
      <c r="E31" s="122">
        <v>0</v>
      </c>
      <c r="F31" s="112">
        <v>2.67</v>
      </c>
      <c r="G31" s="116">
        <f t="shared" ca="1" si="1"/>
        <v>0</v>
      </c>
      <c r="H31" s="95" t="s">
        <v>103</v>
      </c>
      <c r="I31" s="119" t="s">
        <v>104</v>
      </c>
      <c r="J31" s="122">
        <v>0</v>
      </c>
      <c r="K31" s="39" t="s">
        <v>87</v>
      </c>
      <c r="L31" s="42">
        <f t="shared" si="2"/>
        <v>2.67</v>
      </c>
      <c r="M31" s="39">
        <f t="shared" si="0"/>
        <v>0</v>
      </c>
    </row>
    <row r="32" spans="1:13" ht="16">
      <c r="A32" s="83" t="s">
        <v>48</v>
      </c>
      <c r="B32" s="82" t="s">
        <v>73</v>
      </c>
      <c r="C32" s="51">
        <f ca="1">SUMPRODUCT(thisweek_batch,Ingredient_Inventory!D38:Y38)</f>
        <v>0</v>
      </c>
      <c r="D32" s="102">
        <v>0</v>
      </c>
      <c r="E32" s="122">
        <v>0</v>
      </c>
      <c r="F32" s="112">
        <v>2.67</v>
      </c>
      <c r="G32" s="116">
        <f t="shared" ca="1" si="1"/>
        <v>0</v>
      </c>
      <c r="H32" s="95" t="s">
        <v>103</v>
      </c>
      <c r="I32" s="119" t="s">
        <v>48</v>
      </c>
      <c r="J32" s="122">
        <v>0</v>
      </c>
      <c r="K32" s="39" t="s">
        <v>87</v>
      </c>
      <c r="L32" s="42">
        <f t="shared" si="2"/>
        <v>2.67</v>
      </c>
      <c r="M32" s="39">
        <f t="shared" si="0"/>
        <v>0</v>
      </c>
    </row>
    <row r="33" spans="1:13" ht="16">
      <c r="A33" s="81" t="s">
        <v>49</v>
      </c>
      <c r="B33" s="82" t="s">
        <v>73</v>
      </c>
      <c r="C33" s="51">
        <f ca="1">SUMPRODUCT(thisweek_batch,Ingredient_Inventory!D39:Y39)</f>
        <v>0</v>
      </c>
      <c r="D33" s="102">
        <v>0</v>
      </c>
      <c r="E33" s="122">
        <v>0</v>
      </c>
      <c r="F33" s="112">
        <v>57.25</v>
      </c>
      <c r="G33" s="116">
        <f t="shared" ca="1" si="1"/>
        <v>0</v>
      </c>
      <c r="H33" s="117" t="s">
        <v>99</v>
      </c>
      <c r="I33" s="118" t="s">
        <v>49</v>
      </c>
      <c r="J33" s="122">
        <v>0</v>
      </c>
      <c r="K33" s="39" t="s">
        <v>118</v>
      </c>
      <c r="L33" s="42">
        <f t="shared" si="2"/>
        <v>57.25</v>
      </c>
      <c r="M33" s="39">
        <f t="shared" si="0"/>
        <v>0</v>
      </c>
    </row>
    <row r="34" spans="1:13" ht="16">
      <c r="A34" s="83" t="s">
        <v>61</v>
      </c>
      <c r="B34" s="82" t="s">
        <v>73</v>
      </c>
      <c r="C34" s="51">
        <f ca="1">SUMPRODUCT(thisweek_batch,Ingredient_Inventory!D40:Y40)</f>
        <v>0</v>
      </c>
      <c r="D34" s="102">
        <v>0</v>
      </c>
      <c r="E34" s="122">
        <v>0</v>
      </c>
      <c r="F34" s="112">
        <v>3.39</v>
      </c>
      <c r="G34" s="116">
        <f t="shared" ca="1" si="1"/>
        <v>0</v>
      </c>
      <c r="H34" s="95" t="s">
        <v>103</v>
      </c>
      <c r="I34" s="119" t="s">
        <v>61</v>
      </c>
      <c r="J34" s="122">
        <v>0</v>
      </c>
      <c r="K34" s="39" t="s">
        <v>87</v>
      </c>
      <c r="L34" s="42">
        <f t="shared" si="2"/>
        <v>3.39</v>
      </c>
      <c r="M34" s="39">
        <f t="shared" si="0"/>
        <v>0</v>
      </c>
    </row>
    <row r="35" spans="1:13" ht="16">
      <c r="A35" s="83" t="s">
        <v>62</v>
      </c>
      <c r="B35" s="82" t="s">
        <v>73</v>
      </c>
      <c r="C35" s="51">
        <f ca="1">SUMPRODUCT(thisweek_batch,Ingredient_Inventory!D41:Y41)</f>
        <v>0</v>
      </c>
      <c r="D35" s="102">
        <v>0</v>
      </c>
      <c r="E35" s="122">
        <v>0</v>
      </c>
      <c r="F35" s="112">
        <v>3.2</v>
      </c>
      <c r="G35" s="116">
        <f t="shared" ca="1" si="1"/>
        <v>0</v>
      </c>
      <c r="H35" s="95" t="s">
        <v>103</v>
      </c>
      <c r="I35" s="119" t="s">
        <v>62</v>
      </c>
      <c r="J35" s="122">
        <v>0</v>
      </c>
      <c r="K35" s="39" t="s">
        <v>87</v>
      </c>
      <c r="L35" s="42">
        <f t="shared" si="2"/>
        <v>3.2</v>
      </c>
      <c r="M35" s="39">
        <f t="shared" si="0"/>
        <v>0</v>
      </c>
    </row>
    <row r="36" spans="1:13" ht="16">
      <c r="A36" s="83" t="s">
        <v>50</v>
      </c>
      <c r="B36" s="82" t="s">
        <v>73</v>
      </c>
      <c r="C36" s="51">
        <f ca="1">SUMPRODUCT(thisweek_batch,Ingredient_Inventory!D42:Y42)</f>
        <v>0</v>
      </c>
      <c r="D36" s="102">
        <v>0</v>
      </c>
      <c r="E36" s="122">
        <v>0</v>
      </c>
      <c r="F36" s="112">
        <v>4.25</v>
      </c>
      <c r="G36" s="116">
        <f t="shared" ca="1" si="1"/>
        <v>0</v>
      </c>
      <c r="H36" s="95" t="s">
        <v>105</v>
      </c>
      <c r="I36" s="119" t="s">
        <v>50</v>
      </c>
      <c r="J36" s="122">
        <v>0</v>
      </c>
      <c r="K36" s="39" t="s">
        <v>118</v>
      </c>
      <c r="L36" s="42">
        <f t="shared" si="2"/>
        <v>4.25</v>
      </c>
      <c r="M36" s="39">
        <f t="shared" si="0"/>
        <v>0</v>
      </c>
    </row>
    <row r="37" spans="1:13" ht="16">
      <c r="A37" s="83" t="s">
        <v>51</v>
      </c>
      <c r="B37" s="82" t="s">
        <v>73</v>
      </c>
      <c r="C37" s="51">
        <f ca="1">SUMPRODUCT(thisweek_batch,Ingredient_Inventory!D43:Y43)</f>
        <v>0</v>
      </c>
      <c r="D37" s="102">
        <v>0</v>
      </c>
      <c r="E37" s="122">
        <v>0</v>
      </c>
      <c r="F37" s="112">
        <v>3.84</v>
      </c>
      <c r="G37" s="116">
        <f t="shared" ca="1" si="1"/>
        <v>0</v>
      </c>
      <c r="H37" s="95" t="s">
        <v>103</v>
      </c>
      <c r="I37" s="119" t="s">
        <v>51</v>
      </c>
      <c r="J37" s="122">
        <v>0</v>
      </c>
      <c r="K37" s="39" t="s">
        <v>87</v>
      </c>
      <c r="L37" s="42">
        <f t="shared" si="2"/>
        <v>3.84</v>
      </c>
      <c r="M37" s="39">
        <f t="shared" si="0"/>
        <v>0</v>
      </c>
    </row>
    <row r="38" spans="1:13" ht="16">
      <c r="A38" s="81" t="s">
        <v>52</v>
      </c>
      <c r="B38" s="81" t="s">
        <v>68</v>
      </c>
      <c r="C38" s="51">
        <f ca="1">SUMPRODUCT(thisweek_batch,Ingredient_Inventory!D44:Y44)</f>
        <v>0</v>
      </c>
      <c r="D38" s="102">
        <v>0</v>
      </c>
      <c r="E38" s="122">
        <v>0</v>
      </c>
      <c r="F38" s="112">
        <v>96</v>
      </c>
      <c r="G38" s="116">
        <f t="shared" ca="1" si="1"/>
        <v>0</v>
      </c>
      <c r="H38" s="117" t="s">
        <v>107</v>
      </c>
      <c r="I38" s="118" t="s">
        <v>52</v>
      </c>
      <c r="J38" s="122">
        <v>0</v>
      </c>
      <c r="K38" s="39" t="s">
        <v>117</v>
      </c>
      <c r="L38" s="42">
        <f t="shared" si="2"/>
        <v>96</v>
      </c>
      <c r="M38" s="39">
        <f t="shared" si="0"/>
        <v>0</v>
      </c>
    </row>
    <row r="39" spans="1:13" ht="16">
      <c r="A39" s="81" t="s">
        <v>63</v>
      </c>
      <c r="B39" s="81" t="s">
        <v>68</v>
      </c>
      <c r="C39" s="51">
        <f ca="1">SUMPRODUCT(thisweek_batch,Ingredient_Inventory!D45:Y45)</f>
        <v>0</v>
      </c>
      <c r="D39" s="102">
        <v>0</v>
      </c>
      <c r="E39" s="122">
        <v>0</v>
      </c>
      <c r="F39" s="112">
        <v>48</v>
      </c>
      <c r="G39" s="116">
        <f t="shared" ca="1" si="1"/>
        <v>0</v>
      </c>
      <c r="H39" s="117" t="s">
        <v>106</v>
      </c>
      <c r="I39" s="118" t="s">
        <v>63</v>
      </c>
      <c r="J39" s="122">
        <v>0</v>
      </c>
      <c r="K39" s="39" t="s">
        <v>117</v>
      </c>
      <c r="L39" s="42">
        <f t="shared" si="2"/>
        <v>48</v>
      </c>
      <c r="M39" s="39">
        <f t="shared" si="0"/>
        <v>0</v>
      </c>
    </row>
    <row r="40" spans="1:13" ht="16">
      <c r="A40" s="81" t="s">
        <v>64</v>
      </c>
      <c r="B40" s="81" t="s">
        <v>68</v>
      </c>
      <c r="C40" s="51">
        <f ca="1">SUMPRODUCT(thisweek_batch,Ingredient_Inventory!D46:Y46)</f>
        <v>0</v>
      </c>
      <c r="D40" s="102">
        <v>0</v>
      </c>
      <c r="E40" s="122">
        <v>0</v>
      </c>
      <c r="F40" s="112">
        <v>6</v>
      </c>
      <c r="G40" s="116">
        <f t="shared" ca="1" si="1"/>
        <v>0</v>
      </c>
      <c r="H40" s="117" t="s">
        <v>108</v>
      </c>
      <c r="I40" s="118" t="s">
        <v>64</v>
      </c>
      <c r="J40" s="122">
        <v>0</v>
      </c>
      <c r="K40" s="39" t="s">
        <v>117</v>
      </c>
      <c r="L40" s="42">
        <f t="shared" si="2"/>
        <v>6</v>
      </c>
      <c r="M40" s="39">
        <f t="shared" si="0"/>
        <v>0</v>
      </c>
    </row>
    <row r="41" spans="1:13" ht="16">
      <c r="A41" s="83" t="s">
        <v>53</v>
      </c>
      <c r="B41" s="81" t="s">
        <v>82</v>
      </c>
      <c r="C41" s="51">
        <f ca="1">SUMPRODUCT(thisweek_batch,Ingredient_Inventory!D47:Y47)</f>
        <v>0</v>
      </c>
      <c r="D41" s="102">
        <v>0</v>
      </c>
      <c r="E41" s="122">
        <v>0</v>
      </c>
      <c r="F41" s="112">
        <v>1</v>
      </c>
      <c r="G41" s="116">
        <f t="shared" ca="1" si="1"/>
        <v>0</v>
      </c>
      <c r="H41" s="95" t="s">
        <v>78</v>
      </c>
      <c r="I41" s="119" t="s">
        <v>53</v>
      </c>
      <c r="J41" s="122">
        <v>0</v>
      </c>
      <c r="K41" s="39" t="s">
        <v>88</v>
      </c>
      <c r="L41" s="42">
        <f t="shared" si="2"/>
        <v>1</v>
      </c>
      <c r="M41" s="39">
        <f t="shared" si="0"/>
        <v>0</v>
      </c>
    </row>
    <row r="42" spans="1:13" ht="16">
      <c r="A42" s="81" t="s">
        <v>54</v>
      </c>
      <c r="B42" s="81" t="s">
        <v>69</v>
      </c>
      <c r="C42" s="51">
        <f ca="1">SUMPRODUCT(thisweek_batch,Ingredient_Inventory!D48:Y48)</f>
        <v>0</v>
      </c>
      <c r="D42" s="102">
        <v>0</v>
      </c>
      <c r="E42" s="122">
        <v>0</v>
      </c>
      <c r="F42" s="112">
        <v>32</v>
      </c>
      <c r="G42" s="116">
        <f t="shared" ca="1" si="1"/>
        <v>0</v>
      </c>
      <c r="H42" s="117" t="s">
        <v>79</v>
      </c>
      <c r="I42" s="118" t="s">
        <v>54</v>
      </c>
      <c r="J42" s="122">
        <v>0</v>
      </c>
      <c r="K42" s="39" t="s">
        <v>115</v>
      </c>
      <c r="L42" s="42">
        <f t="shared" si="2"/>
        <v>32</v>
      </c>
      <c r="M42" s="39">
        <f t="shared" si="0"/>
        <v>0</v>
      </c>
    </row>
    <row r="43" spans="1:13" ht="16">
      <c r="A43" s="83" t="s">
        <v>55</v>
      </c>
      <c r="B43" s="82" t="s">
        <v>73</v>
      </c>
      <c r="C43" s="51">
        <f ca="1">SUMPRODUCT(thisweek_batch,Ingredient_Inventory!D49:Y49)</f>
        <v>0</v>
      </c>
      <c r="D43" s="102">
        <v>0</v>
      </c>
      <c r="E43" s="122">
        <v>0</v>
      </c>
      <c r="F43" s="112">
        <v>3.2</v>
      </c>
      <c r="G43" s="116">
        <f t="shared" ca="1" si="1"/>
        <v>0</v>
      </c>
      <c r="H43" s="95" t="s">
        <v>103</v>
      </c>
      <c r="I43" s="119" t="s">
        <v>55</v>
      </c>
      <c r="J43" s="122">
        <v>0</v>
      </c>
      <c r="K43" s="39" t="s">
        <v>87</v>
      </c>
      <c r="L43" s="42">
        <f t="shared" si="2"/>
        <v>3.2</v>
      </c>
      <c r="M43" s="39">
        <f t="shared" si="0"/>
        <v>0</v>
      </c>
    </row>
    <row r="44" spans="1:13" ht="16">
      <c r="A44" s="81" t="s">
        <v>71</v>
      </c>
      <c r="B44" s="82" t="s">
        <v>109</v>
      </c>
      <c r="C44" s="51">
        <f ca="1">SUMPRODUCT(thisweek_batch,Ingredient_Inventory!D50:Y50)</f>
        <v>0</v>
      </c>
      <c r="D44" s="102">
        <v>0</v>
      </c>
      <c r="E44" s="122">
        <v>0</v>
      </c>
      <c r="F44" s="112">
        <v>32</v>
      </c>
      <c r="G44" s="116">
        <f t="shared" ca="1" si="1"/>
        <v>0</v>
      </c>
      <c r="H44" s="95" t="s">
        <v>79</v>
      </c>
      <c r="I44" s="119" t="s">
        <v>71</v>
      </c>
      <c r="J44" s="122">
        <v>0</v>
      </c>
      <c r="K44" s="39" t="s">
        <v>115</v>
      </c>
      <c r="L44" s="42">
        <f t="shared" si="2"/>
        <v>32</v>
      </c>
      <c r="M44" s="39">
        <f t="shared" si="0"/>
        <v>0</v>
      </c>
    </row>
    <row r="45" spans="1:13" ht="16">
      <c r="A45" s="83" t="s">
        <v>72</v>
      </c>
      <c r="B45" s="81" t="s">
        <v>73</v>
      </c>
      <c r="C45" s="51">
        <f ca="1">SUMPRODUCT(thisweek_batch,Ingredient_Inventory!D51:Y51)</f>
        <v>0</v>
      </c>
      <c r="D45" s="102">
        <v>0</v>
      </c>
      <c r="E45" s="122">
        <v>0</v>
      </c>
      <c r="F45" s="112">
        <v>8</v>
      </c>
      <c r="G45" s="116">
        <f t="shared" ca="1" si="1"/>
        <v>0</v>
      </c>
      <c r="H45" s="120" t="s">
        <v>101</v>
      </c>
      <c r="I45" s="121" t="s">
        <v>72</v>
      </c>
      <c r="J45" s="122">
        <v>0</v>
      </c>
      <c r="K45" s="39" t="s">
        <v>119</v>
      </c>
      <c r="L45" s="42">
        <f t="shared" si="2"/>
        <v>8</v>
      </c>
      <c r="M45" s="39">
        <f t="shared" si="0"/>
        <v>0</v>
      </c>
    </row>
    <row r="46" spans="1:13" ht="16">
      <c r="A46" s="81" t="s">
        <v>74</v>
      </c>
      <c r="B46" s="82" t="s">
        <v>109</v>
      </c>
      <c r="C46" s="51">
        <f ca="1">SUMPRODUCT(thisweek_batch,Ingredient_Inventory!D52:Y52)</f>
        <v>0</v>
      </c>
      <c r="D46" s="102">
        <v>0</v>
      </c>
      <c r="E46" s="122">
        <v>0</v>
      </c>
      <c r="F46" s="112">
        <v>320</v>
      </c>
      <c r="G46" s="116">
        <f t="shared" ca="1" si="1"/>
        <v>0</v>
      </c>
      <c r="H46" s="95" t="s">
        <v>100</v>
      </c>
      <c r="I46" s="119" t="s">
        <v>74</v>
      </c>
      <c r="J46" s="122">
        <v>0</v>
      </c>
      <c r="K46" s="39" t="s">
        <v>89</v>
      </c>
      <c r="L46" s="42">
        <f t="shared" si="2"/>
        <v>320</v>
      </c>
      <c r="M46" s="39">
        <f t="shared" si="0"/>
        <v>0</v>
      </c>
    </row>
    <row r="47" spans="1:13" ht="16">
      <c r="A47" s="111" t="s">
        <v>149</v>
      </c>
      <c r="B47" s="84" t="s">
        <v>154</v>
      </c>
      <c r="C47" s="51">
        <f ca="1">SUMPRODUCT(thisweek_batch,Ingredient_Inventory!D53:Y53)</f>
        <v>0</v>
      </c>
      <c r="D47" s="102">
        <v>0</v>
      </c>
      <c r="E47" s="122">
        <v>0</v>
      </c>
      <c r="F47" s="113">
        <v>4</v>
      </c>
      <c r="G47" s="116">
        <f t="shared" ca="1" si="1"/>
        <v>0</v>
      </c>
      <c r="H47" s="117" t="s">
        <v>284</v>
      </c>
      <c r="I47" s="119" t="s">
        <v>149</v>
      </c>
      <c r="J47" s="122">
        <v>0</v>
      </c>
      <c r="K47" s="46" t="s">
        <v>87</v>
      </c>
      <c r="L47" s="46">
        <v>4</v>
      </c>
      <c r="M47" s="39">
        <f t="shared" si="0"/>
        <v>0</v>
      </c>
    </row>
    <row r="48" spans="1:13" ht="16">
      <c r="A48" s="111" t="s">
        <v>279</v>
      </c>
      <c r="B48" s="84" t="s">
        <v>154</v>
      </c>
      <c r="C48" s="51">
        <f ca="1">SUMPRODUCT(thisweek_batch,Ingredient_Inventory!D54:Y54)</f>
        <v>0</v>
      </c>
      <c r="D48" s="102">
        <v>0</v>
      </c>
      <c r="E48" s="122">
        <v>0</v>
      </c>
      <c r="F48" s="113">
        <v>4</v>
      </c>
      <c r="G48" s="116">
        <f t="shared" ca="1" si="1"/>
        <v>0</v>
      </c>
      <c r="H48" s="117" t="s">
        <v>284</v>
      </c>
      <c r="I48" s="119" t="s">
        <v>279</v>
      </c>
      <c r="J48" s="122">
        <v>0</v>
      </c>
      <c r="K48" s="46" t="s">
        <v>87</v>
      </c>
      <c r="L48" s="46">
        <v>4</v>
      </c>
      <c r="M48" s="39">
        <f t="shared" si="0"/>
        <v>0</v>
      </c>
    </row>
    <row r="49" spans="1:13" ht="16">
      <c r="A49" s="111" t="s">
        <v>151</v>
      </c>
      <c r="B49" s="84" t="s">
        <v>154</v>
      </c>
      <c r="C49" s="51">
        <f ca="1">SUMPRODUCT(thisweek_batch,Ingredient_Inventory!D55:Y55)</f>
        <v>0</v>
      </c>
      <c r="D49" s="102">
        <v>0</v>
      </c>
      <c r="E49" s="122">
        <v>0</v>
      </c>
      <c r="F49" s="113">
        <v>4</v>
      </c>
      <c r="G49" s="116">
        <f t="shared" ca="1" si="1"/>
        <v>0</v>
      </c>
      <c r="H49" s="117" t="s">
        <v>285</v>
      </c>
      <c r="I49" s="119" t="s">
        <v>151</v>
      </c>
      <c r="J49" s="122">
        <v>0</v>
      </c>
      <c r="K49" s="46" t="s">
        <v>87</v>
      </c>
      <c r="L49" s="46">
        <v>4</v>
      </c>
      <c r="M49" s="39">
        <f t="shared" si="0"/>
        <v>0</v>
      </c>
    </row>
    <row r="50" spans="1:13" ht="16">
      <c r="A50" s="111" t="s">
        <v>152</v>
      </c>
      <c r="B50" s="84" t="s">
        <v>154</v>
      </c>
      <c r="C50" s="51">
        <f ca="1">SUMPRODUCT(thisweek_batch,Ingredient_Inventory!D56:Y56)</f>
        <v>0</v>
      </c>
      <c r="D50" s="102">
        <v>0</v>
      </c>
      <c r="E50" s="122">
        <v>0</v>
      </c>
      <c r="F50" s="113">
        <v>4</v>
      </c>
      <c r="G50" s="116">
        <f t="shared" ca="1" si="1"/>
        <v>0</v>
      </c>
      <c r="H50" s="117" t="s">
        <v>286</v>
      </c>
      <c r="I50" s="119" t="s">
        <v>152</v>
      </c>
      <c r="J50" s="122">
        <v>0</v>
      </c>
      <c r="K50" s="46" t="s">
        <v>288</v>
      </c>
      <c r="L50" s="46">
        <v>4</v>
      </c>
      <c r="M50" s="39">
        <f t="shared" si="0"/>
        <v>0</v>
      </c>
    </row>
    <row r="51" spans="1:13" ht="16">
      <c r="A51" s="111" t="s">
        <v>153</v>
      </c>
      <c r="B51" s="84" t="s">
        <v>155</v>
      </c>
      <c r="C51" s="51">
        <f ca="1">SUMPRODUCT(thisweek_batch,Ingredient_Inventory!D57:Y57)</f>
        <v>0</v>
      </c>
      <c r="D51" s="102">
        <v>0</v>
      </c>
      <c r="E51" s="122">
        <v>0</v>
      </c>
      <c r="F51" s="112">
        <v>4</v>
      </c>
      <c r="G51" s="116">
        <f t="shared" ca="1" si="1"/>
        <v>0</v>
      </c>
      <c r="H51" s="117" t="s">
        <v>287</v>
      </c>
      <c r="I51" s="119" t="s">
        <v>153</v>
      </c>
      <c r="J51" s="122">
        <v>0</v>
      </c>
      <c r="K51" s="39" t="s">
        <v>116</v>
      </c>
      <c r="L51" s="39">
        <v>4</v>
      </c>
      <c r="M51" s="39">
        <f t="shared" si="0"/>
        <v>0</v>
      </c>
    </row>
    <row r="52" spans="1:13" ht="16">
      <c r="A52" s="111" t="s">
        <v>169</v>
      </c>
      <c r="B52" s="84" t="s">
        <v>154</v>
      </c>
      <c r="C52" s="51">
        <f ca="1">SUMPRODUCT(thisweek_batch,Ingredient_Inventory!D58:Y58)</f>
        <v>0</v>
      </c>
      <c r="D52" s="102">
        <v>0</v>
      </c>
      <c r="E52" s="122">
        <v>0</v>
      </c>
      <c r="F52" s="112">
        <v>4</v>
      </c>
      <c r="G52" s="116">
        <f t="shared" ca="1" si="1"/>
        <v>0</v>
      </c>
      <c r="H52" s="117" t="s">
        <v>286</v>
      </c>
      <c r="I52" s="119" t="s">
        <v>169</v>
      </c>
      <c r="J52" s="122">
        <v>0</v>
      </c>
      <c r="K52" s="39" t="s">
        <v>170</v>
      </c>
      <c r="L52" s="39">
        <v>4</v>
      </c>
      <c r="M52" s="39">
        <f t="shared" si="0"/>
        <v>0</v>
      </c>
    </row>
  </sheetData>
  <sheetProtection sheet="1" objects="1" scenarios="1"/>
  <mergeCells count="1">
    <mergeCell ref="G5:I5"/>
  </mergeCells>
  <conditionalFormatting sqref="G7:I7 I47:I52 H8:I46 G8:G52">
    <cfRule type="expression" dxfId="3" priority="5">
      <formula>($G7&gt;0)</formula>
    </cfRule>
  </conditionalFormatting>
  <conditionalFormatting sqref="D7:D52">
    <cfRule type="expression" dxfId="2" priority="4">
      <formula>($AE7&lt;0)</formula>
    </cfRule>
  </conditionalFormatting>
  <conditionalFormatting sqref="H47:H52">
    <cfRule type="expression" dxfId="1" priority="1">
      <formula>($G47&gt;0)</formula>
    </cfRule>
  </conditionalFormatting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3" name="Button 9">
              <controlPr defaultSize="0" print="0" autoFill="0" autoPict="0" macro="[0]!addPurchased">
                <anchor moveWithCells="1" sizeWithCells="1">
                  <from>
                    <xdr:col>2</xdr:col>
                    <xdr:colOff>1079500</xdr:colOff>
                    <xdr:row>1</xdr:row>
                    <xdr:rowOff>63500</xdr:rowOff>
                  </from>
                  <to>
                    <xdr:col>4</xdr:col>
                    <xdr:colOff>190500</xdr:colOff>
                    <xdr:row>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fill_in_purchased_update">
                <anchor moveWithCells="1" sizeWithCells="1">
                  <from>
                    <xdr:col>8</xdr:col>
                    <xdr:colOff>1562100</xdr:colOff>
                    <xdr:row>3</xdr:row>
                    <xdr:rowOff>114300</xdr:rowOff>
                  </from>
                  <to>
                    <xdr:col>10</xdr:col>
                    <xdr:colOff>254000</xdr:colOff>
                    <xdr:row>5</xdr:row>
                    <xdr:rowOff>266700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undoPurchasedInventoryAddition">
                <anchor moveWithCells="1" sizeWithCells="1">
                  <from>
                    <xdr:col>2</xdr:col>
                    <xdr:colOff>1066800</xdr:colOff>
                    <xdr:row>3</xdr:row>
                    <xdr:rowOff>139700</xdr:rowOff>
                  </from>
                  <to>
                    <xdr:col>4</xdr:col>
                    <xdr:colOff>228600</xdr:colOff>
                    <xdr:row>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ClearPurchasedUpdateColumn">
                <anchor moveWithCells="1" sizeWithCells="1">
                  <from>
                    <xdr:col>10</xdr:col>
                    <xdr:colOff>393700</xdr:colOff>
                    <xdr:row>3</xdr:row>
                    <xdr:rowOff>139700</xdr:rowOff>
                  </from>
                  <to>
                    <xdr:col>10</xdr:col>
                    <xdr:colOff>1308100</xdr:colOff>
                    <xdr:row>5</xdr:row>
                    <xdr:rowOff>431800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C2:I31"/>
  <sheetViews>
    <sheetView showRuler="0" workbookViewId="0">
      <selection activeCell="F5" sqref="F5"/>
    </sheetView>
  </sheetViews>
  <sheetFormatPr baseColWidth="10" defaultRowHeight="15" x14ac:dyDescent="0"/>
  <cols>
    <col min="4" max="4" width="13.5" customWidth="1"/>
    <col min="5" max="5" width="17.83203125" customWidth="1"/>
    <col min="6" max="6" width="15.33203125" customWidth="1"/>
    <col min="8" max="8" width="13.33203125" bestFit="1" customWidth="1"/>
    <col min="9" max="9" width="17.6640625" customWidth="1"/>
  </cols>
  <sheetData>
    <row r="2" spans="3:9">
      <c r="C2" s="51" t="s">
        <v>173</v>
      </c>
      <c r="D2" s="57"/>
      <c r="I2" s="24"/>
    </row>
    <row r="3" spans="3:9">
      <c r="D3" s="52" t="s">
        <v>122</v>
      </c>
      <c r="E3" s="55"/>
      <c r="F3" s="55" t="s">
        <v>90</v>
      </c>
    </row>
    <row r="4" spans="3:9">
      <c r="C4" s="43" t="s">
        <v>196</v>
      </c>
      <c r="D4" s="58" t="s">
        <v>294</v>
      </c>
      <c r="E4" s="58" t="s">
        <v>164</v>
      </c>
      <c r="F4" s="44" t="s">
        <v>294</v>
      </c>
      <c r="G4" s="45"/>
    </row>
    <row r="5" spans="3:9">
      <c r="C5" s="76" t="s">
        <v>0</v>
      </c>
      <c r="D5" s="127">
        <v>0</v>
      </c>
      <c r="E5" s="127">
        <v>0</v>
      </c>
      <c r="F5" s="128">
        <v>0</v>
      </c>
      <c r="G5" s="45"/>
    </row>
    <row r="6" spans="3:9">
      <c r="C6" s="76" t="s">
        <v>5</v>
      </c>
      <c r="D6" s="127">
        <v>0</v>
      </c>
      <c r="E6" s="127">
        <v>0</v>
      </c>
      <c r="F6" s="128">
        <v>0</v>
      </c>
      <c r="G6" s="45"/>
    </row>
    <row r="7" spans="3:9">
      <c r="C7" s="76" t="s">
        <v>6</v>
      </c>
      <c r="D7" s="127">
        <v>0</v>
      </c>
      <c r="E7" s="127">
        <v>0</v>
      </c>
      <c r="F7" s="128">
        <v>0</v>
      </c>
      <c r="G7" s="45"/>
    </row>
    <row r="8" spans="3:9">
      <c r="C8" s="76" t="s">
        <v>7</v>
      </c>
      <c r="D8" s="127">
        <v>0</v>
      </c>
      <c r="E8" s="127">
        <v>0</v>
      </c>
      <c r="F8" s="128">
        <v>0</v>
      </c>
      <c r="G8" s="45"/>
    </row>
    <row r="9" spans="3:9">
      <c r="C9" s="76" t="s">
        <v>8</v>
      </c>
      <c r="D9" s="127">
        <v>0</v>
      </c>
      <c r="E9" s="127">
        <v>0</v>
      </c>
      <c r="F9" s="128">
        <v>0</v>
      </c>
      <c r="G9" s="45"/>
    </row>
    <row r="10" spans="3:9">
      <c r="C10" s="76" t="s">
        <v>3</v>
      </c>
      <c r="D10" s="127">
        <v>0</v>
      </c>
      <c r="E10" s="127">
        <v>0</v>
      </c>
      <c r="F10" s="128">
        <v>0</v>
      </c>
      <c r="G10" s="45"/>
    </row>
    <row r="11" spans="3:9">
      <c r="C11" s="76" t="s">
        <v>9</v>
      </c>
      <c r="D11" s="127">
        <v>0</v>
      </c>
      <c r="E11" s="127">
        <v>0</v>
      </c>
      <c r="F11" s="128">
        <v>0</v>
      </c>
      <c r="G11" s="45"/>
    </row>
    <row r="12" spans="3:9">
      <c r="C12" s="76" t="s">
        <v>10</v>
      </c>
      <c r="D12" s="127">
        <v>0</v>
      </c>
      <c r="E12" s="127">
        <v>0</v>
      </c>
      <c r="F12" s="128">
        <v>0</v>
      </c>
      <c r="G12" s="45"/>
    </row>
    <row r="13" spans="3:9">
      <c r="C13" s="76" t="s">
        <v>11</v>
      </c>
      <c r="D13" s="127">
        <v>0</v>
      </c>
      <c r="E13" s="127">
        <v>0</v>
      </c>
      <c r="F13" s="128">
        <v>0</v>
      </c>
      <c r="G13" s="45"/>
    </row>
    <row r="14" spans="3:9">
      <c r="C14" s="76" t="s">
        <v>1</v>
      </c>
      <c r="D14" s="127">
        <v>0</v>
      </c>
      <c r="E14" s="127">
        <v>0</v>
      </c>
      <c r="F14" s="128">
        <v>0</v>
      </c>
      <c r="G14" s="45"/>
    </row>
    <row r="15" spans="3:9">
      <c r="C15" s="76" t="s">
        <v>12</v>
      </c>
      <c r="D15" s="127">
        <v>0</v>
      </c>
      <c r="E15" s="127">
        <v>0</v>
      </c>
      <c r="F15" s="128">
        <v>0</v>
      </c>
      <c r="G15" s="45"/>
    </row>
    <row r="16" spans="3:9">
      <c r="C16" s="76" t="s">
        <v>13</v>
      </c>
      <c r="D16" s="127">
        <v>0</v>
      </c>
      <c r="E16" s="127">
        <v>0</v>
      </c>
      <c r="F16" s="128">
        <v>0</v>
      </c>
      <c r="G16" s="45"/>
    </row>
    <row r="17" spans="3:7">
      <c r="C17" s="76" t="s">
        <v>14</v>
      </c>
      <c r="D17" s="127">
        <v>0</v>
      </c>
      <c r="E17" s="127">
        <v>0</v>
      </c>
      <c r="F17" s="128">
        <v>0</v>
      </c>
      <c r="G17" s="45"/>
    </row>
    <row r="18" spans="3:7">
      <c r="C18" s="76" t="s">
        <v>15</v>
      </c>
      <c r="D18" s="127">
        <v>0</v>
      </c>
      <c r="E18" s="127">
        <v>0</v>
      </c>
      <c r="F18" s="128">
        <v>0</v>
      </c>
      <c r="G18" s="45"/>
    </row>
    <row r="19" spans="3:7">
      <c r="C19" s="76" t="s">
        <v>16</v>
      </c>
      <c r="D19" s="127">
        <v>0</v>
      </c>
      <c r="E19" s="127">
        <v>0</v>
      </c>
      <c r="F19" s="128">
        <v>0</v>
      </c>
      <c r="G19" s="45"/>
    </row>
    <row r="20" spans="3:7">
      <c r="C20" s="76" t="s">
        <v>17</v>
      </c>
      <c r="D20" s="127">
        <v>0</v>
      </c>
      <c r="E20" s="127">
        <v>0</v>
      </c>
      <c r="F20" s="128">
        <v>0</v>
      </c>
      <c r="G20" s="45"/>
    </row>
    <row r="21" spans="3:7">
      <c r="C21" s="76" t="s">
        <v>18</v>
      </c>
      <c r="D21" s="127">
        <v>0</v>
      </c>
      <c r="E21" s="127">
        <v>0</v>
      </c>
      <c r="F21" s="128">
        <v>0</v>
      </c>
      <c r="G21" s="45"/>
    </row>
    <row r="22" spans="3:7">
      <c r="C22" s="76" t="s">
        <v>19</v>
      </c>
      <c r="D22" s="127">
        <v>0</v>
      </c>
      <c r="E22" s="127">
        <v>0</v>
      </c>
      <c r="F22" s="128">
        <v>0</v>
      </c>
      <c r="G22" s="45"/>
    </row>
    <row r="23" spans="3:7">
      <c r="C23" s="76" t="s">
        <v>24</v>
      </c>
      <c r="D23" s="127">
        <v>0</v>
      </c>
      <c r="E23" s="127">
        <v>0</v>
      </c>
      <c r="F23" s="128">
        <v>0</v>
      </c>
      <c r="G23" s="45"/>
    </row>
    <row r="24" spans="3:7">
      <c r="C24" s="76" t="s">
        <v>20</v>
      </c>
      <c r="D24" s="127">
        <v>0</v>
      </c>
      <c r="E24" s="127">
        <v>0</v>
      </c>
      <c r="F24" s="128">
        <v>0</v>
      </c>
      <c r="G24" s="45"/>
    </row>
    <row r="25" spans="3:7">
      <c r="C25" s="76" t="s">
        <v>21</v>
      </c>
      <c r="D25" s="127">
        <v>0</v>
      </c>
      <c r="E25" s="127">
        <v>0</v>
      </c>
      <c r="F25" s="128">
        <v>0</v>
      </c>
      <c r="G25" s="45"/>
    </row>
    <row r="26" spans="3:7">
      <c r="C26" s="80" t="s">
        <v>22</v>
      </c>
      <c r="D26" s="127">
        <v>0</v>
      </c>
      <c r="E26" s="127">
        <v>0</v>
      </c>
      <c r="F26" s="128">
        <v>0</v>
      </c>
      <c r="G26" s="45"/>
    </row>
    <row r="27" spans="3:7">
      <c r="C27" s="76" t="s">
        <v>167</v>
      </c>
      <c r="D27" s="39">
        <f>SUM(D5:D26)</f>
        <v>0</v>
      </c>
      <c r="E27" s="39">
        <f>SUM(E5:E26)</f>
        <v>0</v>
      </c>
      <c r="F27" s="39">
        <f>SUM(F5:F26)</f>
        <v>0</v>
      </c>
      <c r="G27" s="45"/>
    </row>
    <row r="28" spans="3:7">
      <c r="G28" s="45"/>
    </row>
    <row r="29" spans="3:7">
      <c r="G29" s="45"/>
    </row>
    <row r="30" spans="3:7">
      <c r="G30" s="45"/>
    </row>
    <row r="31" spans="3:7">
      <c r="G31" s="45"/>
    </row>
  </sheetData>
  <sheetProtection sheet="1" objects="1" scenarios="1"/>
  <conditionalFormatting sqref="D5:F27">
    <cfRule type="expression" dxfId="0" priority="1">
      <formula>(D5&lt;0)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Y60"/>
  <sheetViews>
    <sheetView tabSelected="1" showRuler="0" workbookViewId="0">
      <selection activeCell="H4" sqref="H4"/>
    </sheetView>
  </sheetViews>
  <sheetFormatPr baseColWidth="10" defaultRowHeight="15" x14ac:dyDescent="0"/>
  <cols>
    <col min="2" max="2" width="12.33203125" customWidth="1"/>
    <col min="3" max="3" width="15.1640625" customWidth="1"/>
    <col min="4" max="4" width="11.6640625" bestFit="1" customWidth="1"/>
    <col min="5" max="6" width="13.33203125" customWidth="1"/>
    <col min="7" max="7" width="11.5" customWidth="1"/>
    <col min="8" max="8" width="16.6640625" bestFit="1" customWidth="1"/>
    <col min="9" max="9" width="14.6640625" bestFit="1" customWidth="1"/>
    <col min="10" max="10" width="13.83203125" customWidth="1"/>
    <col min="11" max="11" width="14.5" customWidth="1"/>
    <col min="12" max="12" width="12.83203125" customWidth="1"/>
    <col min="13" max="13" width="14.5" bestFit="1" customWidth="1"/>
    <col min="14" max="14" width="14.6640625" customWidth="1"/>
    <col min="19" max="19" width="14" customWidth="1"/>
  </cols>
  <sheetData>
    <row r="1" spans="1:25">
      <c r="J1">
        <v>1</v>
      </c>
      <c r="K1">
        <v>2</v>
      </c>
      <c r="L1">
        <v>3</v>
      </c>
      <c r="M1">
        <v>4</v>
      </c>
      <c r="N1">
        <v>5</v>
      </c>
      <c r="O1">
        <v>6</v>
      </c>
      <c r="P1">
        <v>7</v>
      </c>
      <c r="Q1">
        <v>8</v>
      </c>
      <c r="R1">
        <v>9</v>
      </c>
      <c r="S1">
        <v>10</v>
      </c>
      <c r="T1">
        <v>11</v>
      </c>
      <c r="U1">
        <v>12</v>
      </c>
      <c r="V1">
        <v>13</v>
      </c>
      <c r="W1">
        <v>14</v>
      </c>
      <c r="X1">
        <v>15</v>
      </c>
      <c r="Y1">
        <v>16</v>
      </c>
    </row>
    <row r="2" spans="1:25">
      <c r="H2" s="27"/>
      <c r="I2" s="40" t="s">
        <v>258</v>
      </c>
      <c r="J2" s="62">
        <v>42651</v>
      </c>
      <c r="K2" s="62">
        <v>42651</v>
      </c>
      <c r="L2" s="62">
        <v>42652</v>
      </c>
      <c r="M2" s="62">
        <v>42652</v>
      </c>
      <c r="N2" s="62">
        <v>42653</v>
      </c>
      <c r="O2" s="62">
        <v>42653</v>
      </c>
      <c r="P2" s="62">
        <v>42654</v>
      </c>
      <c r="Q2" s="62">
        <v>42654</v>
      </c>
      <c r="R2" s="62">
        <v>42655</v>
      </c>
      <c r="S2" s="62">
        <v>42655</v>
      </c>
      <c r="T2" s="62">
        <v>42656</v>
      </c>
      <c r="U2" s="62">
        <v>42656</v>
      </c>
      <c r="V2" s="62">
        <v>42657</v>
      </c>
      <c r="W2" s="62">
        <v>42657</v>
      </c>
      <c r="X2" s="62">
        <v>42658</v>
      </c>
      <c r="Y2" s="62">
        <v>42658</v>
      </c>
    </row>
    <row r="3" spans="1:25">
      <c r="I3" s="40" t="s">
        <v>259</v>
      </c>
      <c r="J3" s="39" t="s">
        <v>205</v>
      </c>
      <c r="K3" s="39" t="s">
        <v>205</v>
      </c>
      <c r="L3" s="39" t="s">
        <v>206</v>
      </c>
      <c r="M3" s="63" t="s">
        <v>206</v>
      </c>
      <c r="N3" s="39" t="s">
        <v>207</v>
      </c>
      <c r="O3" s="39" t="s">
        <v>207</v>
      </c>
      <c r="P3" s="39" t="s">
        <v>202</v>
      </c>
      <c r="Q3" s="39" t="s">
        <v>202</v>
      </c>
      <c r="R3" s="39" t="s">
        <v>204</v>
      </c>
      <c r="S3" s="39" t="s">
        <v>204</v>
      </c>
      <c r="T3" s="39" t="s">
        <v>201</v>
      </c>
      <c r="U3" s="39" t="s">
        <v>201</v>
      </c>
      <c r="V3" s="39" t="s">
        <v>203</v>
      </c>
      <c r="W3" s="39" t="s">
        <v>203</v>
      </c>
      <c r="X3" s="39" t="s">
        <v>205</v>
      </c>
      <c r="Y3" s="39" t="s">
        <v>205</v>
      </c>
    </row>
    <row r="4" spans="1:25">
      <c r="I4" s="78" t="s">
        <v>129</v>
      </c>
      <c r="J4" s="79">
        <v>42649</v>
      </c>
      <c r="K4" s="79">
        <v>42649</v>
      </c>
      <c r="L4" s="79">
        <v>42650</v>
      </c>
      <c r="M4" s="79">
        <v>42650</v>
      </c>
      <c r="N4" s="79">
        <v>42649</v>
      </c>
      <c r="O4" s="79">
        <v>42649</v>
      </c>
      <c r="P4" s="79">
        <v>42650</v>
      </c>
      <c r="Q4" s="79">
        <v>42650</v>
      </c>
      <c r="R4" s="79">
        <v>42653</v>
      </c>
      <c r="S4" s="79">
        <v>42653</v>
      </c>
      <c r="T4" s="79">
        <v>42654</v>
      </c>
      <c r="U4" s="79">
        <v>42654</v>
      </c>
      <c r="V4" s="79">
        <v>42655</v>
      </c>
      <c r="W4" s="79">
        <v>42655</v>
      </c>
      <c r="X4" s="79">
        <v>42656</v>
      </c>
      <c r="Y4" s="79">
        <v>42656</v>
      </c>
    </row>
    <row r="5" spans="1:25">
      <c r="H5" s="29"/>
      <c r="I5" s="78" t="s">
        <v>259</v>
      </c>
      <c r="J5" s="79" t="s">
        <v>201</v>
      </c>
      <c r="K5" s="79" t="s">
        <v>201</v>
      </c>
      <c r="L5" s="79" t="s">
        <v>203</v>
      </c>
      <c r="M5" s="79" t="s">
        <v>203</v>
      </c>
      <c r="N5" s="79" t="s">
        <v>201</v>
      </c>
      <c r="O5" s="79" t="s">
        <v>201</v>
      </c>
      <c r="P5" s="79" t="s">
        <v>203</v>
      </c>
      <c r="Q5" s="79" t="s">
        <v>203</v>
      </c>
      <c r="R5" s="79" t="s">
        <v>207</v>
      </c>
      <c r="S5" s="79" t="s">
        <v>207</v>
      </c>
      <c r="T5" s="79" t="s">
        <v>202</v>
      </c>
      <c r="U5" s="79" t="s">
        <v>202</v>
      </c>
      <c r="V5" s="140" t="s">
        <v>204</v>
      </c>
      <c r="W5" s="140" t="s">
        <v>204</v>
      </c>
      <c r="X5" s="79" t="s">
        <v>201</v>
      </c>
      <c r="Y5" s="79" t="s">
        <v>201</v>
      </c>
    </row>
    <row r="6" spans="1:25">
      <c r="A6" s="27"/>
      <c r="I6" s="40" t="s">
        <v>123</v>
      </c>
      <c r="J6" s="60" t="s">
        <v>200</v>
      </c>
      <c r="K6" s="61" t="s">
        <v>2</v>
      </c>
      <c r="L6" s="60" t="s">
        <v>200</v>
      </c>
      <c r="M6" s="61" t="s">
        <v>2</v>
      </c>
      <c r="N6" s="60" t="s">
        <v>200</v>
      </c>
      <c r="O6" s="61" t="s">
        <v>2</v>
      </c>
      <c r="P6" s="60" t="s">
        <v>200</v>
      </c>
      <c r="Q6" s="61" t="s">
        <v>2</v>
      </c>
      <c r="R6" s="60" t="s">
        <v>200</v>
      </c>
      <c r="S6" s="61" t="s">
        <v>2</v>
      </c>
      <c r="T6" s="60" t="s">
        <v>200</v>
      </c>
      <c r="U6" s="61" t="s">
        <v>2</v>
      </c>
      <c r="V6" s="60" t="s">
        <v>200</v>
      </c>
      <c r="W6" s="61" t="s">
        <v>2</v>
      </c>
      <c r="X6" s="60" t="s">
        <v>200</v>
      </c>
      <c r="Y6" s="61" t="s">
        <v>2</v>
      </c>
    </row>
    <row r="7" spans="1:25" ht="16" customHeight="1">
      <c r="B7" s="39" t="s">
        <v>124</v>
      </c>
      <c r="C7" s="47" t="s">
        <v>130</v>
      </c>
      <c r="D7" s="39" t="s">
        <v>125</v>
      </c>
      <c r="E7" s="39" t="s">
        <v>126</v>
      </c>
      <c r="F7" s="39" t="s">
        <v>127</v>
      </c>
      <c r="G7" s="131" t="s">
        <v>128</v>
      </c>
      <c r="H7" s="39" t="s">
        <v>289</v>
      </c>
      <c r="I7" s="40" t="s">
        <v>290</v>
      </c>
      <c r="J7" s="39">
        <v>2</v>
      </c>
      <c r="K7" s="39">
        <v>2</v>
      </c>
      <c r="L7" s="39">
        <v>2</v>
      </c>
      <c r="M7" s="39">
        <v>2</v>
      </c>
      <c r="N7" s="39">
        <v>2</v>
      </c>
      <c r="O7" s="39">
        <v>2</v>
      </c>
      <c r="P7" s="39">
        <v>2</v>
      </c>
      <c r="Q7" s="39">
        <v>2</v>
      </c>
      <c r="R7" s="39">
        <v>2</v>
      </c>
      <c r="S7" s="39">
        <v>2</v>
      </c>
      <c r="T7" s="39">
        <v>2</v>
      </c>
      <c r="U7" s="39">
        <v>2</v>
      </c>
      <c r="V7" s="39">
        <v>2</v>
      </c>
      <c r="W7" s="39">
        <v>2</v>
      </c>
      <c r="X7" s="39">
        <v>2</v>
      </c>
      <c r="Y7" s="39">
        <v>2</v>
      </c>
    </row>
    <row r="8" spans="1:25">
      <c r="B8" s="123" t="s">
        <v>0</v>
      </c>
      <c r="C8" s="103">
        <v>140</v>
      </c>
      <c r="D8" s="110">
        <v>90</v>
      </c>
      <c r="E8" s="39">
        <f>Cookie_Inventory!F5</f>
        <v>0</v>
      </c>
      <c r="F8" s="39">
        <f>MAX(0,D8-E8)</f>
        <v>90</v>
      </c>
      <c r="G8" s="131">
        <f ca="1">CEILING(((3*F8+H8)/C8),1)</f>
        <v>2</v>
      </c>
      <c r="H8" s="39">
        <f ca="1">SUMPRODUCT(OFFSET(baking_due_date_array,ROWS($H$2:$H7),0),OFFSET(baking_due_date_array,5,0))</f>
        <v>0</v>
      </c>
      <c r="I8" s="123" t="s">
        <v>0</v>
      </c>
      <c r="J8" s="39">
        <v>0</v>
      </c>
      <c r="K8" s="39">
        <v>0</v>
      </c>
      <c r="L8" s="39">
        <v>0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</row>
    <row r="9" spans="1:25">
      <c r="B9" s="123" t="s">
        <v>5</v>
      </c>
      <c r="C9" s="103">
        <v>136</v>
      </c>
      <c r="D9" s="110">
        <v>44</v>
      </c>
      <c r="E9" s="39">
        <f>Cookie_Inventory!F6</f>
        <v>0</v>
      </c>
      <c r="F9" s="39">
        <f t="shared" ref="F9:F29" si="0">MAX(0,D9-E9)</f>
        <v>44</v>
      </c>
      <c r="G9" s="131">
        <f t="shared" ref="G9:G29" ca="1" si="1">CEILING(((3*F9+H9)/C9),1)</f>
        <v>1</v>
      </c>
      <c r="H9" s="39">
        <f ca="1">SUMPRODUCT(OFFSET(baking_due_date_array,ROWS($H$2:$H8),0),OFFSET(baking_due_date_array,5,0))</f>
        <v>0</v>
      </c>
      <c r="I9" s="123" t="s">
        <v>5</v>
      </c>
      <c r="J9" s="39">
        <v>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</row>
    <row r="10" spans="1:25">
      <c r="B10" s="123" t="s">
        <v>6</v>
      </c>
      <c r="C10" s="103">
        <v>128</v>
      </c>
      <c r="D10" s="110">
        <v>41</v>
      </c>
      <c r="E10" s="39">
        <f>Cookie_Inventory!F7</f>
        <v>0</v>
      </c>
      <c r="F10" s="39">
        <f t="shared" si="0"/>
        <v>41</v>
      </c>
      <c r="G10" s="131">
        <f t="shared" ca="1" si="1"/>
        <v>1</v>
      </c>
      <c r="H10" s="39">
        <f ca="1">SUMPRODUCT(OFFSET(baking_due_date_array,ROWS($H$2:$H9),0),OFFSET(baking_due_date_array,5,0))</f>
        <v>0</v>
      </c>
      <c r="I10" s="123" t="s">
        <v>6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</row>
    <row r="11" spans="1:25" ht="16">
      <c r="B11" s="71" t="s">
        <v>7</v>
      </c>
      <c r="C11" s="103">
        <v>182</v>
      </c>
      <c r="D11" s="110">
        <v>104</v>
      </c>
      <c r="E11" s="39">
        <f>Cookie_Inventory!F8</f>
        <v>0</v>
      </c>
      <c r="F11" s="39">
        <f t="shared" si="0"/>
        <v>104</v>
      </c>
      <c r="G11" s="131">
        <f t="shared" ca="1" si="1"/>
        <v>2</v>
      </c>
      <c r="H11" s="39">
        <f ca="1">SUMPRODUCT(OFFSET(baking_due_date_array,ROWS($H$2:$H10),0),OFFSET(baking_due_date_array,5,0))</f>
        <v>0</v>
      </c>
      <c r="I11" s="71" t="s">
        <v>7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</row>
    <row r="12" spans="1:25">
      <c r="B12" s="123" t="s">
        <v>8</v>
      </c>
      <c r="C12" s="103">
        <v>126</v>
      </c>
      <c r="D12" s="110">
        <v>39</v>
      </c>
      <c r="E12" s="39">
        <f>Cookie_Inventory!F9</f>
        <v>0</v>
      </c>
      <c r="F12" s="39">
        <f t="shared" si="0"/>
        <v>39</v>
      </c>
      <c r="G12" s="131">
        <f t="shared" ca="1" si="1"/>
        <v>1</v>
      </c>
      <c r="H12" s="39">
        <f ca="1">SUMPRODUCT(OFFSET(baking_due_date_array,ROWS($H$2:$H11),0),OFFSET(baking_due_date_array,5,0))</f>
        <v>0</v>
      </c>
      <c r="I12" s="123" t="s">
        <v>8</v>
      </c>
      <c r="J12" s="39">
        <v>0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  <c r="P12" s="39">
        <v>0</v>
      </c>
      <c r="Q12" s="39">
        <v>0</v>
      </c>
      <c r="R12" s="39">
        <v>0</v>
      </c>
      <c r="S12" s="39">
        <v>0</v>
      </c>
      <c r="T12" s="39">
        <v>0</v>
      </c>
      <c r="U12" s="39">
        <v>0</v>
      </c>
      <c r="V12" s="39">
        <v>0</v>
      </c>
      <c r="W12" s="39">
        <v>0</v>
      </c>
      <c r="X12" s="39">
        <v>0</v>
      </c>
      <c r="Y12" s="39">
        <v>0</v>
      </c>
    </row>
    <row r="13" spans="1:25">
      <c r="B13" s="123" t="s">
        <v>3</v>
      </c>
      <c r="C13" s="103">
        <v>175</v>
      </c>
      <c r="D13" s="110">
        <v>57</v>
      </c>
      <c r="E13" s="39">
        <f>Cookie_Inventory!F10</f>
        <v>0</v>
      </c>
      <c r="F13" s="39">
        <f t="shared" si="0"/>
        <v>57</v>
      </c>
      <c r="G13" s="131">
        <f t="shared" ca="1" si="1"/>
        <v>1</v>
      </c>
      <c r="H13" s="39">
        <f ca="1">SUMPRODUCT(OFFSET(baking_due_date_array,ROWS($H$2:$H12),0),OFFSET(baking_due_date_array,5,0))</f>
        <v>0</v>
      </c>
      <c r="I13" s="123" t="s">
        <v>3</v>
      </c>
      <c r="J13" s="39">
        <v>0</v>
      </c>
      <c r="K13" s="39">
        <v>0</v>
      </c>
      <c r="L13" s="39">
        <v>0</v>
      </c>
      <c r="M13" s="39">
        <v>0</v>
      </c>
      <c r="N13" s="39">
        <v>0</v>
      </c>
      <c r="O13" s="39">
        <v>0</v>
      </c>
      <c r="P13" s="39">
        <v>0</v>
      </c>
      <c r="Q13" s="39">
        <v>0</v>
      </c>
      <c r="R13" s="39">
        <v>0</v>
      </c>
      <c r="S13" s="39">
        <v>0</v>
      </c>
      <c r="T13" s="39">
        <v>0</v>
      </c>
      <c r="U13" s="39">
        <v>0</v>
      </c>
      <c r="V13" s="39">
        <v>0</v>
      </c>
      <c r="W13" s="39">
        <v>0</v>
      </c>
      <c r="X13" s="39">
        <v>0</v>
      </c>
      <c r="Y13" s="39">
        <v>0</v>
      </c>
    </row>
    <row r="14" spans="1:25">
      <c r="B14" s="123" t="s">
        <v>9</v>
      </c>
      <c r="C14" s="103">
        <v>148</v>
      </c>
      <c r="D14" s="110">
        <v>49</v>
      </c>
      <c r="E14" s="39">
        <f>Cookie_Inventory!F11</f>
        <v>0</v>
      </c>
      <c r="F14" s="39">
        <f t="shared" si="0"/>
        <v>49</v>
      </c>
      <c r="G14" s="131">
        <f t="shared" ca="1" si="1"/>
        <v>1</v>
      </c>
      <c r="H14" s="39">
        <f ca="1">SUMPRODUCT(OFFSET(baking_due_date_array,ROWS($H$2:$H13),0),OFFSET(baking_due_date_array,5,0))</f>
        <v>0</v>
      </c>
      <c r="I14" s="123" t="s">
        <v>9</v>
      </c>
      <c r="J14" s="39">
        <v>0</v>
      </c>
      <c r="K14" s="39">
        <v>0</v>
      </c>
      <c r="L14" s="39">
        <v>0</v>
      </c>
      <c r="M14" s="39">
        <v>0</v>
      </c>
      <c r="N14" s="39">
        <v>0</v>
      </c>
      <c r="O14" s="39">
        <v>0</v>
      </c>
      <c r="P14" s="39">
        <v>0</v>
      </c>
      <c r="Q14" s="39">
        <v>0</v>
      </c>
      <c r="R14" s="39">
        <v>0</v>
      </c>
      <c r="S14" s="39">
        <v>0</v>
      </c>
      <c r="T14" s="39">
        <v>0</v>
      </c>
      <c r="U14" s="39">
        <v>0</v>
      </c>
      <c r="V14" s="39">
        <v>0</v>
      </c>
      <c r="W14" s="39">
        <v>0</v>
      </c>
      <c r="X14" s="39">
        <v>0</v>
      </c>
      <c r="Y14" s="39">
        <v>0</v>
      </c>
    </row>
    <row r="15" spans="1:25" ht="16">
      <c r="B15" s="71" t="s">
        <v>10</v>
      </c>
      <c r="C15" s="103">
        <v>145</v>
      </c>
      <c r="D15" s="110">
        <v>46</v>
      </c>
      <c r="E15" s="39">
        <f>Cookie_Inventory!F12</f>
        <v>0</v>
      </c>
      <c r="F15" s="39">
        <f t="shared" si="0"/>
        <v>46</v>
      </c>
      <c r="G15" s="131">
        <f t="shared" ca="1" si="1"/>
        <v>1</v>
      </c>
      <c r="H15" s="39">
        <f ca="1">SUMPRODUCT(OFFSET(baking_due_date_array,ROWS($H$2:$H14),0),OFFSET(baking_due_date_array,5,0))</f>
        <v>0</v>
      </c>
      <c r="I15" s="71" t="s">
        <v>10</v>
      </c>
      <c r="J15" s="39">
        <v>0</v>
      </c>
      <c r="K15" s="39">
        <v>0</v>
      </c>
      <c r="L15" s="39">
        <v>0</v>
      </c>
      <c r="M15" s="39">
        <v>0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9">
        <v>0</v>
      </c>
      <c r="U15" s="39">
        <v>0</v>
      </c>
      <c r="V15" s="39">
        <v>0</v>
      </c>
      <c r="W15" s="39">
        <v>0</v>
      </c>
      <c r="X15" s="39">
        <v>0</v>
      </c>
      <c r="Y15" s="39">
        <v>0</v>
      </c>
    </row>
    <row r="16" spans="1:25" ht="16">
      <c r="B16" s="71" t="s">
        <v>11</v>
      </c>
      <c r="C16" s="103">
        <v>153</v>
      </c>
      <c r="D16" s="110">
        <v>50</v>
      </c>
      <c r="E16" s="39">
        <f>Cookie_Inventory!F13</f>
        <v>0</v>
      </c>
      <c r="F16" s="39">
        <f t="shared" si="0"/>
        <v>50</v>
      </c>
      <c r="G16" s="131">
        <f t="shared" ca="1" si="1"/>
        <v>1</v>
      </c>
      <c r="H16" s="39">
        <f ca="1">SUMPRODUCT(OFFSET(baking_due_date_array,ROWS($H$2:$H15),0),OFFSET(baking_due_date_array,5,0))</f>
        <v>0</v>
      </c>
      <c r="I16" s="71" t="s">
        <v>11</v>
      </c>
      <c r="J16" s="39">
        <v>0</v>
      </c>
      <c r="K16" s="39">
        <v>0</v>
      </c>
      <c r="L16" s="39">
        <v>0</v>
      </c>
      <c r="M16" s="39">
        <v>0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9">
        <v>0</v>
      </c>
      <c r="U16" s="39">
        <v>0</v>
      </c>
      <c r="V16" s="39">
        <v>0</v>
      </c>
      <c r="W16" s="39">
        <v>0</v>
      </c>
      <c r="X16" s="39">
        <v>0</v>
      </c>
      <c r="Y16" s="39">
        <v>0</v>
      </c>
    </row>
    <row r="17" spans="2:25" ht="16">
      <c r="B17" s="71" t="s">
        <v>1</v>
      </c>
      <c r="C17" s="103">
        <v>138</v>
      </c>
      <c r="D17" s="110">
        <v>44</v>
      </c>
      <c r="E17" s="39">
        <f>Cookie_Inventory!F14</f>
        <v>0</v>
      </c>
      <c r="F17" s="39">
        <f t="shared" si="0"/>
        <v>44</v>
      </c>
      <c r="G17" s="131">
        <f t="shared" ca="1" si="1"/>
        <v>1</v>
      </c>
      <c r="H17" s="39">
        <f ca="1">SUMPRODUCT(OFFSET(baking_due_date_array,ROWS($H$2:$H16),0),OFFSET(baking_due_date_array,5,0))</f>
        <v>0</v>
      </c>
      <c r="I17" s="71" t="s">
        <v>1</v>
      </c>
      <c r="J17" s="39">
        <v>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0</v>
      </c>
      <c r="R17" s="39">
        <v>0</v>
      </c>
      <c r="S17" s="39">
        <v>0</v>
      </c>
      <c r="T17" s="39">
        <v>0</v>
      </c>
      <c r="U17" s="39">
        <v>0</v>
      </c>
      <c r="V17" s="39">
        <v>0</v>
      </c>
      <c r="W17" s="39">
        <v>0</v>
      </c>
      <c r="X17" s="39">
        <v>0</v>
      </c>
      <c r="Y17" s="39">
        <v>0</v>
      </c>
    </row>
    <row r="18" spans="2:25" ht="16">
      <c r="B18" s="71" t="s">
        <v>12</v>
      </c>
      <c r="C18" s="103">
        <v>145</v>
      </c>
      <c r="D18" s="110">
        <v>46</v>
      </c>
      <c r="E18" s="39">
        <f>Cookie_Inventory!F15</f>
        <v>0</v>
      </c>
      <c r="F18" s="39">
        <f t="shared" si="0"/>
        <v>46</v>
      </c>
      <c r="G18" s="131">
        <f t="shared" ca="1" si="1"/>
        <v>1</v>
      </c>
      <c r="H18" s="39">
        <f ca="1">SUMPRODUCT(OFFSET(baking_due_date_array,ROWS($H$2:$H17),0),OFFSET(baking_due_date_array,5,0))</f>
        <v>0</v>
      </c>
      <c r="I18" s="71" t="s">
        <v>12</v>
      </c>
      <c r="J18" s="39">
        <v>0</v>
      </c>
      <c r="K18" s="39">
        <v>0</v>
      </c>
      <c r="L18" s="39">
        <v>0</v>
      </c>
      <c r="M18" s="39">
        <v>0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39">
        <v>0</v>
      </c>
      <c r="T18" s="39">
        <v>0</v>
      </c>
      <c r="U18" s="39">
        <v>0</v>
      </c>
      <c r="V18" s="39">
        <v>0</v>
      </c>
      <c r="W18" s="39">
        <v>0</v>
      </c>
      <c r="X18" s="39">
        <v>0</v>
      </c>
      <c r="Y18" s="39">
        <v>0</v>
      </c>
    </row>
    <row r="19" spans="2:25" ht="16">
      <c r="B19" s="71" t="s">
        <v>13</v>
      </c>
      <c r="C19" s="103">
        <v>154</v>
      </c>
      <c r="D19" s="110">
        <v>50</v>
      </c>
      <c r="E19" s="39">
        <f>Cookie_Inventory!F16</f>
        <v>0</v>
      </c>
      <c r="F19" s="39">
        <f t="shared" si="0"/>
        <v>50</v>
      </c>
      <c r="G19" s="131">
        <f t="shared" ca="1" si="1"/>
        <v>1</v>
      </c>
      <c r="H19" s="39">
        <f ca="1">SUMPRODUCT(OFFSET(baking_due_date_array,ROWS($H$2:$H18),0),OFFSET(baking_due_date_array,5,0))</f>
        <v>0</v>
      </c>
      <c r="I19" s="71" t="s">
        <v>13</v>
      </c>
      <c r="J19" s="39">
        <v>0</v>
      </c>
      <c r="K19" s="39">
        <v>0</v>
      </c>
      <c r="L19" s="39">
        <v>0</v>
      </c>
      <c r="M19" s="39">
        <v>0</v>
      </c>
      <c r="N19" s="39">
        <v>0</v>
      </c>
      <c r="O19" s="39">
        <v>0</v>
      </c>
      <c r="P19" s="39">
        <v>0</v>
      </c>
      <c r="Q19" s="39">
        <v>0</v>
      </c>
      <c r="R19" s="39">
        <v>0</v>
      </c>
      <c r="S19" s="39">
        <v>0</v>
      </c>
      <c r="T19" s="39">
        <v>0</v>
      </c>
      <c r="U19" s="39">
        <v>0</v>
      </c>
      <c r="V19" s="39">
        <v>0</v>
      </c>
      <c r="W19" s="39">
        <v>0</v>
      </c>
      <c r="X19" s="39">
        <v>0</v>
      </c>
      <c r="Y19" s="39">
        <v>0</v>
      </c>
    </row>
    <row r="20" spans="2:25" ht="16">
      <c r="B20" s="71" t="s">
        <v>14</v>
      </c>
      <c r="C20" s="103">
        <v>154</v>
      </c>
      <c r="D20" s="110">
        <v>50</v>
      </c>
      <c r="E20" s="39">
        <f>Cookie_Inventory!F17</f>
        <v>0</v>
      </c>
      <c r="F20" s="39">
        <f t="shared" si="0"/>
        <v>50</v>
      </c>
      <c r="G20" s="131">
        <f t="shared" ca="1" si="1"/>
        <v>1</v>
      </c>
      <c r="H20" s="39">
        <f ca="1">SUMPRODUCT(OFFSET(baking_due_date_array,ROWS($H$2:$H19),0),OFFSET(baking_due_date_array,5,0))</f>
        <v>0</v>
      </c>
      <c r="I20" s="71" t="s">
        <v>14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</v>
      </c>
      <c r="W20" s="39">
        <v>0</v>
      </c>
      <c r="X20" s="39">
        <v>0</v>
      </c>
      <c r="Y20" s="39">
        <v>0</v>
      </c>
    </row>
    <row r="21" spans="2:25" ht="16">
      <c r="B21" s="71" t="s">
        <v>15</v>
      </c>
      <c r="C21" s="103">
        <v>213</v>
      </c>
      <c r="D21" s="110">
        <v>69</v>
      </c>
      <c r="E21" s="39">
        <f>Cookie_Inventory!F18</f>
        <v>0</v>
      </c>
      <c r="F21" s="39">
        <f t="shared" si="0"/>
        <v>69</v>
      </c>
      <c r="G21" s="131">
        <f t="shared" ca="1" si="1"/>
        <v>1</v>
      </c>
      <c r="H21" s="39">
        <f ca="1">SUMPRODUCT(OFFSET(baking_due_date_array,ROWS($H$2:$H20),0),OFFSET(baking_due_date_array,5,0))</f>
        <v>0</v>
      </c>
      <c r="I21" s="71" t="s">
        <v>15</v>
      </c>
      <c r="J21" s="39">
        <v>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9">
        <v>0</v>
      </c>
      <c r="U21" s="39">
        <v>0</v>
      </c>
      <c r="V21" s="39">
        <v>0</v>
      </c>
      <c r="W21" s="39">
        <v>0</v>
      </c>
      <c r="X21" s="39">
        <v>0</v>
      </c>
      <c r="Y21" s="39">
        <v>0</v>
      </c>
    </row>
    <row r="22" spans="2:25" ht="16">
      <c r="B22" s="95" t="s">
        <v>16</v>
      </c>
      <c r="C22" s="108">
        <v>100</v>
      </c>
      <c r="D22" s="130">
        <v>50</v>
      </c>
      <c r="E22" s="129">
        <f>Cookie_Inventory!F19</f>
        <v>0</v>
      </c>
      <c r="F22" s="129">
        <f t="shared" si="0"/>
        <v>50</v>
      </c>
      <c r="G22" s="132">
        <f t="shared" ca="1" si="1"/>
        <v>2</v>
      </c>
      <c r="H22" s="129">
        <f ca="1">SUMPRODUCT(OFFSET(baking_due_date_array,ROWS($H$2:$H21),0),OFFSET(baking_due_date_array,5,0))</f>
        <v>0</v>
      </c>
      <c r="I22" s="95" t="s">
        <v>16</v>
      </c>
      <c r="J22" s="39">
        <v>0</v>
      </c>
      <c r="K22" s="39">
        <v>0</v>
      </c>
      <c r="L22" s="39">
        <v>0</v>
      </c>
      <c r="M22" s="39">
        <v>0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39">
        <v>0</v>
      </c>
      <c r="T22" s="39">
        <v>0</v>
      </c>
      <c r="U22" s="39">
        <v>0</v>
      </c>
      <c r="V22" s="39">
        <v>0</v>
      </c>
      <c r="W22" s="39">
        <v>0</v>
      </c>
      <c r="X22" s="39">
        <v>0</v>
      </c>
      <c r="Y22" s="39">
        <v>0</v>
      </c>
    </row>
    <row r="23" spans="2:25" ht="16">
      <c r="B23" s="71" t="s">
        <v>17</v>
      </c>
      <c r="C23" s="103">
        <v>143</v>
      </c>
      <c r="D23" s="110">
        <v>47</v>
      </c>
      <c r="E23" s="39">
        <f>Cookie_Inventory!F20</f>
        <v>0</v>
      </c>
      <c r="F23" s="39">
        <f t="shared" si="0"/>
        <v>47</v>
      </c>
      <c r="G23" s="131">
        <f t="shared" ca="1" si="1"/>
        <v>1</v>
      </c>
      <c r="H23" s="39">
        <f ca="1">SUMPRODUCT(OFFSET(baking_due_date_array,ROWS($H$2:$H22),0),OFFSET(baking_due_date_array,5,0))</f>
        <v>0</v>
      </c>
      <c r="I23" s="71" t="s">
        <v>17</v>
      </c>
      <c r="J23" s="39">
        <v>0</v>
      </c>
      <c r="K23" s="39">
        <v>0</v>
      </c>
      <c r="L23" s="39">
        <v>0</v>
      </c>
      <c r="M23" s="39">
        <v>0</v>
      </c>
      <c r="N23" s="39">
        <v>0</v>
      </c>
      <c r="O23" s="39">
        <v>0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>
        <v>0</v>
      </c>
      <c r="W23" s="39">
        <v>0</v>
      </c>
      <c r="X23" s="39">
        <v>0</v>
      </c>
      <c r="Y23" s="39">
        <v>0</v>
      </c>
    </row>
    <row r="24" spans="2:25" ht="16">
      <c r="B24" s="71" t="s">
        <v>18</v>
      </c>
      <c r="C24" s="103">
        <v>139</v>
      </c>
      <c r="D24" s="110">
        <v>45</v>
      </c>
      <c r="E24" s="39">
        <f>Cookie_Inventory!F21</f>
        <v>0</v>
      </c>
      <c r="F24" s="39">
        <f t="shared" si="0"/>
        <v>45</v>
      </c>
      <c r="G24" s="131">
        <f t="shared" ca="1" si="1"/>
        <v>1</v>
      </c>
      <c r="H24" s="39">
        <f ca="1">SUMPRODUCT(OFFSET(baking_due_date_array,ROWS($H$2:$H23),0),OFFSET(baking_due_date_array,5,0))</f>
        <v>0</v>
      </c>
      <c r="I24" s="71" t="s">
        <v>18</v>
      </c>
      <c r="J24" s="39">
        <v>0</v>
      </c>
      <c r="K24" s="39">
        <v>0</v>
      </c>
      <c r="L24" s="39">
        <v>0</v>
      </c>
      <c r="M24" s="39">
        <v>0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>
        <v>0</v>
      </c>
      <c r="W24" s="39">
        <v>0</v>
      </c>
      <c r="X24" s="39">
        <v>0</v>
      </c>
      <c r="Y24" s="39">
        <v>0</v>
      </c>
    </row>
    <row r="25" spans="2:25" ht="16">
      <c r="B25" s="71" t="s">
        <v>19</v>
      </c>
      <c r="C25" s="103">
        <v>130</v>
      </c>
      <c r="D25" s="110">
        <v>43</v>
      </c>
      <c r="E25" s="39">
        <f>Cookie_Inventory!F22</f>
        <v>0</v>
      </c>
      <c r="F25" s="39">
        <f t="shared" si="0"/>
        <v>43</v>
      </c>
      <c r="G25" s="131">
        <f t="shared" ca="1" si="1"/>
        <v>1</v>
      </c>
      <c r="H25" s="39">
        <f ca="1">SUMPRODUCT(OFFSET(baking_due_date_array,ROWS($H$2:$H24),0),OFFSET(baking_due_date_array,5,0))</f>
        <v>0</v>
      </c>
      <c r="I25" s="71" t="s">
        <v>19</v>
      </c>
      <c r="J25" s="39">
        <v>0</v>
      </c>
      <c r="K25" s="39">
        <v>0</v>
      </c>
      <c r="L25" s="39">
        <v>0</v>
      </c>
      <c r="M25" s="39">
        <v>0</v>
      </c>
      <c r="N25" s="39">
        <v>0</v>
      </c>
      <c r="O25" s="39">
        <v>0</v>
      </c>
      <c r="P25" s="39">
        <v>0</v>
      </c>
      <c r="Q25" s="39">
        <v>0</v>
      </c>
      <c r="R25" s="39">
        <v>0</v>
      </c>
      <c r="S25" s="39">
        <v>0</v>
      </c>
      <c r="T25" s="39">
        <v>0</v>
      </c>
      <c r="U25" s="39">
        <v>0</v>
      </c>
      <c r="V25" s="39">
        <v>0</v>
      </c>
      <c r="W25" s="39">
        <v>0</v>
      </c>
      <c r="X25" s="39">
        <v>0</v>
      </c>
      <c r="Y25" s="39">
        <v>0</v>
      </c>
    </row>
    <row r="26" spans="2:25" ht="16">
      <c r="B26" s="71" t="s">
        <v>24</v>
      </c>
      <c r="C26" s="103">
        <v>148</v>
      </c>
      <c r="D26" s="110">
        <v>46</v>
      </c>
      <c r="E26" s="39">
        <f>Cookie_Inventory!F23</f>
        <v>0</v>
      </c>
      <c r="F26" s="39">
        <f t="shared" si="0"/>
        <v>46</v>
      </c>
      <c r="G26" s="131">
        <f t="shared" ca="1" si="1"/>
        <v>1</v>
      </c>
      <c r="H26" s="39">
        <f ca="1">SUMPRODUCT(OFFSET(baking_due_date_array,ROWS($H$2:$H25),0),OFFSET(baking_due_date_array,5,0))</f>
        <v>0</v>
      </c>
      <c r="I26" s="71" t="s">
        <v>24</v>
      </c>
      <c r="J26" s="39">
        <v>0</v>
      </c>
      <c r="K26" s="39">
        <v>0</v>
      </c>
      <c r="L26" s="39">
        <v>0</v>
      </c>
      <c r="M26" s="39">
        <v>0</v>
      </c>
      <c r="N26" s="39">
        <v>0</v>
      </c>
      <c r="O26" s="39">
        <v>0</v>
      </c>
      <c r="P26" s="39">
        <v>0</v>
      </c>
      <c r="Q26" s="39">
        <v>0</v>
      </c>
      <c r="R26" s="39">
        <v>0</v>
      </c>
      <c r="S26" s="39">
        <v>0</v>
      </c>
      <c r="T26" s="39">
        <v>0</v>
      </c>
      <c r="U26" s="39">
        <v>0</v>
      </c>
      <c r="V26" s="39">
        <v>0</v>
      </c>
      <c r="W26" s="39">
        <v>0</v>
      </c>
      <c r="X26" s="39">
        <v>0</v>
      </c>
      <c r="Y26" s="39">
        <v>0</v>
      </c>
    </row>
    <row r="27" spans="2:25" ht="16">
      <c r="B27" s="71" t="s">
        <v>20</v>
      </c>
      <c r="C27" s="103">
        <v>152</v>
      </c>
      <c r="D27" s="110">
        <v>51</v>
      </c>
      <c r="E27" s="39">
        <f>Cookie_Inventory!F24</f>
        <v>0</v>
      </c>
      <c r="F27" s="39">
        <f t="shared" si="0"/>
        <v>51</v>
      </c>
      <c r="G27" s="131">
        <f t="shared" ca="1" si="1"/>
        <v>2</v>
      </c>
      <c r="H27" s="39">
        <f ca="1">SUMPRODUCT(OFFSET(baking_due_date_array,ROWS($H$2:$H26),0),OFFSET(baking_due_date_array,5,0))</f>
        <v>0</v>
      </c>
      <c r="I27" s="71" t="s">
        <v>20</v>
      </c>
      <c r="J27" s="39">
        <v>0</v>
      </c>
      <c r="K27" s="39">
        <v>0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39">
        <v>0</v>
      </c>
      <c r="R27" s="39">
        <v>0</v>
      </c>
      <c r="S27" s="39">
        <v>0</v>
      </c>
      <c r="T27" s="39">
        <v>0</v>
      </c>
      <c r="U27" s="39">
        <v>0</v>
      </c>
      <c r="V27" s="39">
        <v>0</v>
      </c>
      <c r="W27" s="39">
        <v>0</v>
      </c>
      <c r="X27" s="39">
        <v>0</v>
      </c>
      <c r="Y27" s="39">
        <v>0</v>
      </c>
    </row>
    <row r="28" spans="2:25" ht="16">
      <c r="B28" s="71" t="s">
        <v>21</v>
      </c>
      <c r="C28" s="103">
        <v>129</v>
      </c>
      <c r="D28" s="110">
        <v>42</v>
      </c>
      <c r="E28" s="39">
        <f>Cookie_Inventory!F25</f>
        <v>0</v>
      </c>
      <c r="F28" s="39">
        <f t="shared" si="0"/>
        <v>42</v>
      </c>
      <c r="G28" s="131">
        <f t="shared" ca="1" si="1"/>
        <v>1</v>
      </c>
      <c r="H28" s="39">
        <f ca="1">SUMPRODUCT(OFFSET(baking_due_date_array,ROWS($H$2:$H27),0),OFFSET(baking_due_date_array,5,0))</f>
        <v>0</v>
      </c>
      <c r="I28" s="71" t="s">
        <v>21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</row>
    <row r="29" spans="2:25" ht="16">
      <c r="B29" s="124" t="s">
        <v>22</v>
      </c>
      <c r="C29" s="103">
        <v>213</v>
      </c>
      <c r="D29" s="110">
        <v>69</v>
      </c>
      <c r="E29" s="39">
        <f>Cookie_Inventory!F26</f>
        <v>0</v>
      </c>
      <c r="F29" s="39">
        <f t="shared" si="0"/>
        <v>69</v>
      </c>
      <c r="G29" s="131">
        <f t="shared" ca="1" si="1"/>
        <v>1</v>
      </c>
      <c r="H29" s="39">
        <f ca="1">SUMPRODUCT(OFFSET(baking_due_date_array,ROWS($H$2:$H28),0),OFFSET(baking_due_date_array,5,0))</f>
        <v>0</v>
      </c>
      <c r="I29" s="124" t="s">
        <v>22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39">
        <v>0</v>
      </c>
      <c r="T29" s="39">
        <v>0</v>
      </c>
      <c r="U29" s="39">
        <v>0</v>
      </c>
      <c r="V29" s="39">
        <v>0</v>
      </c>
      <c r="W29" s="39">
        <v>0</v>
      </c>
      <c r="X29" s="39">
        <v>0</v>
      </c>
      <c r="Y29" s="39">
        <v>0</v>
      </c>
    </row>
    <row r="31" spans="2:25">
      <c r="I31" s="27" t="s">
        <v>188</v>
      </c>
    </row>
    <row r="32" spans="2:25">
      <c r="I32" s="27"/>
    </row>
    <row r="33" spans="2:19" ht="32">
      <c r="B33" s="49" t="s">
        <v>120</v>
      </c>
      <c r="I33" s="27" t="s">
        <v>189</v>
      </c>
    </row>
    <row r="34" spans="2:19" ht="18" customHeight="1"/>
    <row r="35" spans="2:19">
      <c r="B35" s="52" t="s">
        <v>171</v>
      </c>
      <c r="C35" s="41"/>
      <c r="I35" s="52" t="s">
        <v>172</v>
      </c>
      <c r="J35" s="41"/>
    </row>
    <row r="36" spans="2:19">
      <c r="D36" s="28"/>
    </row>
    <row r="37" spans="2:19" ht="20" customHeight="1">
      <c r="C37" s="52" t="s">
        <v>122</v>
      </c>
      <c r="D37" s="55"/>
      <c r="E37" s="55" t="s">
        <v>90</v>
      </c>
      <c r="F37" s="32"/>
      <c r="G37" s="32"/>
      <c r="S37" s="31"/>
    </row>
    <row r="38" spans="2:19" ht="17" customHeight="1">
      <c r="B38" s="43" t="s">
        <v>196</v>
      </c>
      <c r="C38" s="58" t="s">
        <v>165</v>
      </c>
      <c r="D38" s="58" t="s">
        <v>164</v>
      </c>
      <c r="E38" s="44" t="s">
        <v>165</v>
      </c>
      <c r="I38" s="39" t="s">
        <v>166</v>
      </c>
      <c r="J38" s="39" t="s">
        <v>168</v>
      </c>
      <c r="P38" s="29"/>
    </row>
    <row r="39" spans="2:19">
      <c r="B39" s="76" t="s">
        <v>0</v>
      </c>
      <c r="C39" s="110">
        <v>0</v>
      </c>
      <c r="D39" s="110">
        <v>3</v>
      </c>
      <c r="E39" s="110">
        <v>0</v>
      </c>
      <c r="I39" s="40" t="s">
        <v>0</v>
      </c>
      <c r="J39" s="110"/>
      <c r="P39" s="27"/>
    </row>
    <row r="40" spans="2:19">
      <c r="B40" s="76" t="s">
        <v>5</v>
      </c>
      <c r="C40" s="110">
        <v>0</v>
      </c>
      <c r="D40" s="110">
        <v>0</v>
      </c>
      <c r="E40" s="110">
        <v>0</v>
      </c>
      <c r="I40" s="40" t="s">
        <v>5</v>
      </c>
      <c r="J40" s="110"/>
      <c r="P40" s="27"/>
    </row>
    <row r="41" spans="2:19">
      <c r="B41" s="76" t="s">
        <v>6</v>
      </c>
      <c r="C41" s="110">
        <v>0</v>
      </c>
      <c r="D41" s="110">
        <v>0</v>
      </c>
      <c r="E41" s="110">
        <v>0</v>
      </c>
      <c r="I41" s="40" t="s">
        <v>6</v>
      </c>
      <c r="J41" s="110"/>
    </row>
    <row r="42" spans="2:19">
      <c r="B42" s="76" t="s">
        <v>7</v>
      </c>
      <c r="C42" s="110">
        <v>0</v>
      </c>
      <c r="D42" s="110">
        <v>0</v>
      </c>
      <c r="E42" s="110">
        <v>0</v>
      </c>
      <c r="I42" s="40" t="s">
        <v>7</v>
      </c>
      <c r="J42" s="110"/>
    </row>
    <row r="43" spans="2:19">
      <c r="B43" s="76" t="s">
        <v>8</v>
      </c>
      <c r="C43" s="110">
        <v>0</v>
      </c>
      <c r="D43" s="110">
        <v>0</v>
      </c>
      <c r="E43" s="110">
        <v>0</v>
      </c>
      <c r="I43" s="40" t="s">
        <v>8</v>
      </c>
      <c r="J43" s="110"/>
    </row>
    <row r="44" spans="2:19">
      <c r="B44" s="76" t="s">
        <v>3</v>
      </c>
      <c r="C44" s="110">
        <v>0</v>
      </c>
      <c r="D44" s="110">
        <v>0</v>
      </c>
      <c r="E44" s="110">
        <v>0</v>
      </c>
      <c r="I44" s="40" t="s">
        <v>3</v>
      </c>
      <c r="J44" s="110"/>
    </row>
    <row r="45" spans="2:19">
      <c r="B45" s="76" t="s">
        <v>9</v>
      </c>
      <c r="C45" s="110">
        <v>0</v>
      </c>
      <c r="D45" s="110">
        <v>0</v>
      </c>
      <c r="E45" s="110">
        <v>0</v>
      </c>
      <c r="I45" s="40" t="s">
        <v>9</v>
      </c>
      <c r="J45" s="110"/>
    </row>
    <row r="46" spans="2:19">
      <c r="B46" s="76" t="s">
        <v>10</v>
      </c>
      <c r="C46" s="110">
        <v>0</v>
      </c>
      <c r="D46" s="110">
        <v>0</v>
      </c>
      <c r="E46" s="110">
        <v>0</v>
      </c>
      <c r="I46" s="40" t="s">
        <v>10</v>
      </c>
      <c r="J46" s="110"/>
    </row>
    <row r="47" spans="2:19">
      <c r="B47" s="76" t="s">
        <v>11</v>
      </c>
      <c r="C47" s="110">
        <v>0</v>
      </c>
      <c r="D47" s="110">
        <v>0</v>
      </c>
      <c r="E47" s="110">
        <v>0</v>
      </c>
      <c r="I47" s="40" t="s">
        <v>11</v>
      </c>
      <c r="J47" s="110"/>
    </row>
    <row r="48" spans="2:19">
      <c r="B48" s="76" t="s">
        <v>1</v>
      </c>
      <c r="C48" s="110">
        <v>0</v>
      </c>
      <c r="D48" s="110">
        <v>0</v>
      </c>
      <c r="E48" s="110">
        <v>0</v>
      </c>
      <c r="I48" s="40" t="s">
        <v>1</v>
      </c>
      <c r="J48" s="110"/>
    </row>
    <row r="49" spans="2:10">
      <c r="B49" s="76" t="s">
        <v>12</v>
      </c>
      <c r="C49" s="110">
        <v>0</v>
      </c>
      <c r="D49" s="110">
        <v>0</v>
      </c>
      <c r="E49" s="110">
        <v>0</v>
      </c>
      <c r="I49" s="40" t="s">
        <v>12</v>
      </c>
      <c r="J49" s="110"/>
    </row>
    <row r="50" spans="2:10">
      <c r="B50" s="76" t="s">
        <v>13</v>
      </c>
      <c r="C50" s="110">
        <v>0</v>
      </c>
      <c r="D50" s="110">
        <v>0</v>
      </c>
      <c r="E50" s="110">
        <v>0</v>
      </c>
      <c r="I50" s="40" t="s">
        <v>13</v>
      </c>
      <c r="J50" s="110"/>
    </row>
    <row r="51" spans="2:10">
      <c r="B51" s="76" t="s">
        <v>14</v>
      </c>
      <c r="C51" s="110">
        <v>0</v>
      </c>
      <c r="D51" s="110">
        <v>0</v>
      </c>
      <c r="E51" s="110">
        <v>0</v>
      </c>
      <c r="I51" s="40" t="s">
        <v>14</v>
      </c>
      <c r="J51" s="110"/>
    </row>
    <row r="52" spans="2:10">
      <c r="B52" s="76" t="s">
        <v>15</v>
      </c>
      <c r="C52" s="110">
        <v>0</v>
      </c>
      <c r="D52" s="110">
        <v>0</v>
      </c>
      <c r="E52" s="110">
        <v>0</v>
      </c>
      <c r="I52" s="40" t="s">
        <v>15</v>
      </c>
      <c r="J52" s="110"/>
    </row>
    <row r="53" spans="2:10">
      <c r="B53" s="76" t="s">
        <v>16</v>
      </c>
      <c r="C53" s="110">
        <v>0</v>
      </c>
      <c r="D53" s="110">
        <v>0</v>
      </c>
      <c r="E53" s="110">
        <v>0</v>
      </c>
      <c r="I53" s="40" t="s">
        <v>16</v>
      </c>
      <c r="J53" s="110"/>
    </row>
    <row r="54" spans="2:10">
      <c r="B54" s="76" t="s">
        <v>17</v>
      </c>
      <c r="C54" s="110">
        <v>0</v>
      </c>
      <c r="D54" s="110">
        <v>0</v>
      </c>
      <c r="E54" s="110">
        <v>0</v>
      </c>
      <c r="I54" s="40" t="s">
        <v>17</v>
      </c>
      <c r="J54" s="110"/>
    </row>
    <row r="55" spans="2:10">
      <c r="B55" s="76" t="s">
        <v>18</v>
      </c>
      <c r="C55" s="110">
        <v>0</v>
      </c>
      <c r="D55" s="110">
        <v>0</v>
      </c>
      <c r="E55" s="110">
        <v>5</v>
      </c>
      <c r="I55" s="40" t="s">
        <v>18</v>
      </c>
      <c r="J55" s="110"/>
    </row>
    <row r="56" spans="2:10">
      <c r="B56" s="76" t="s">
        <v>19</v>
      </c>
      <c r="C56" s="110">
        <v>0</v>
      </c>
      <c r="D56" s="110">
        <v>0</v>
      </c>
      <c r="E56" s="110">
        <v>0</v>
      </c>
      <c r="I56" s="40" t="s">
        <v>19</v>
      </c>
      <c r="J56" s="110"/>
    </row>
    <row r="57" spans="2:10">
      <c r="B57" s="76" t="s">
        <v>24</v>
      </c>
      <c r="C57" s="110">
        <v>0</v>
      </c>
      <c r="D57" s="110">
        <v>0</v>
      </c>
      <c r="E57" s="110">
        <v>0</v>
      </c>
      <c r="I57" s="40" t="s">
        <v>24</v>
      </c>
      <c r="J57" s="110"/>
    </row>
    <row r="58" spans="2:10">
      <c r="B58" s="76" t="s">
        <v>20</v>
      </c>
      <c r="C58" s="110">
        <v>0</v>
      </c>
      <c r="D58" s="110">
        <v>0</v>
      </c>
      <c r="E58" s="110">
        <v>0</v>
      </c>
      <c r="I58" s="40" t="s">
        <v>20</v>
      </c>
      <c r="J58" s="110"/>
    </row>
    <row r="59" spans="2:10">
      <c r="B59" s="76" t="s">
        <v>21</v>
      </c>
      <c r="C59" s="110">
        <v>0</v>
      </c>
      <c r="D59" s="110">
        <v>0</v>
      </c>
      <c r="E59" s="110">
        <v>0</v>
      </c>
      <c r="I59" s="40" t="s">
        <v>21</v>
      </c>
      <c r="J59" s="110"/>
    </row>
    <row r="60" spans="2:10">
      <c r="B60" s="76" t="s">
        <v>22</v>
      </c>
      <c r="C60" s="110">
        <v>0</v>
      </c>
      <c r="D60" s="110">
        <v>0</v>
      </c>
      <c r="E60" s="110">
        <v>0</v>
      </c>
      <c r="I60" s="40" t="s">
        <v>22</v>
      </c>
      <c r="J60" s="110"/>
    </row>
  </sheetData>
  <sheetProtection sheet="1" objects="1" scenarios="1"/>
  <sortState columnSort="1" ref="J2:Q29">
    <sortCondition ref="J2"/>
  </sortState>
  <dataValidations count="1">
    <dataValidation type="whole" operator="greaterThanOrEqual" allowBlank="1" showInputMessage="1" showErrorMessage="1" sqref="D36">
      <formula1>0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Sheet4.remove_cookie_inventory">
                <anchor moveWithCells="1" sizeWithCells="1">
                  <from>
                    <xdr:col>19</xdr:col>
                    <xdr:colOff>0</xdr:colOff>
                    <xdr:row>39</xdr:row>
                    <xdr:rowOff>101600</xdr:rowOff>
                  </from>
                  <to>
                    <xdr:col>19</xdr:col>
                    <xdr:colOff>0</xdr:colOff>
                    <xdr:row>42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refresh_baking_schedule">
                <anchor moveWithCells="1" sizeWithCells="1">
                  <from>
                    <xdr:col>0</xdr:col>
                    <xdr:colOff>139700</xdr:colOff>
                    <xdr:row>1</xdr:row>
                    <xdr:rowOff>114300</xdr:rowOff>
                  </from>
                  <to>
                    <xdr:col>1</xdr:col>
                    <xdr:colOff>660400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22" r:id="rId5" name="Button 26">
              <controlPr defaultSize="0" print="0" autoFill="0" autoPict="0" macro="[0]!add_cookie_inventory">
                <anchor moveWithCells="1" sizeWithCells="1">
                  <from>
                    <xdr:col>5</xdr:col>
                    <xdr:colOff>241300</xdr:colOff>
                    <xdr:row>38</xdr:row>
                    <xdr:rowOff>76200</xdr:rowOff>
                  </from>
                  <to>
                    <xdr:col>7</xdr:col>
                    <xdr:colOff>431800</xdr:colOff>
                    <xdr:row>41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24" r:id="rId6" name="Button 28">
              <controlPr defaultSize="0" print="0" autoFill="0" autoPict="0" macro="[0]!remove_cookie_inventory">
                <anchor moveWithCells="1" sizeWithCells="1">
                  <from>
                    <xdr:col>5</xdr:col>
                    <xdr:colOff>241300</xdr:colOff>
                    <xdr:row>42</xdr:row>
                    <xdr:rowOff>177800</xdr:rowOff>
                  </from>
                  <to>
                    <xdr:col>7</xdr:col>
                    <xdr:colOff>431800</xdr:colOff>
                    <xdr:row>45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25" r:id="rId7" name="Button 29">
              <controlPr defaultSize="0" print="0" autoFill="0" autoPict="0" macro="[0]!remove_ingredient_inventory">
                <anchor moveWithCells="1" sizeWithCells="1">
                  <from>
                    <xdr:col>10</xdr:col>
                    <xdr:colOff>635000</xdr:colOff>
                    <xdr:row>38</xdr:row>
                    <xdr:rowOff>127000</xdr:rowOff>
                  </from>
                  <to>
                    <xdr:col>12</xdr:col>
                    <xdr:colOff>393700</xdr:colOff>
                    <xdr:row>41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26" r:id="rId8" name="Button 30">
              <controlPr defaultSize="0" print="0" autoFill="0" autoPict="0" macro="[0]!undo_removal_of_ingredient_inventory">
                <anchor moveWithCells="1" sizeWithCells="1">
                  <from>
                    <xdr:col>10</xdr:col>
                    <xdr:colOff>622300</xdr:colOff>
                    <xdr:row>42</xdr:row>
                    <xdr:rowOff>152400</xdr:rowOff>
                  </from>
                  <to>
                    <xdr:col>12</xdr:col>
                    <xdr:colOff>368300</xdr:colOff>
                    <xdr:row>45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29" r:id="rId9" name="Button 33">
              <controlPr defaultSize="0" print="0" autoFill="0" autoPict="0" macro="[0]!change_baking_schedule">
                <anchor moveWithCells="1" sizeWithCells="1">
                  <from>
                    <xdr:col>2</xdr:col>
                    <xdr:colOff>76200</xdr:colOff>
                    <xdr:row>60</xdr:row>
                    <xdr:rowOff>88900</xdr:rowOff>
                  </from>
                  <to>
                    <xdr:col>3</xdr:col>
                    <xdr:colOff>800100</xdr:colOff>
                    <xdr:row>64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30" r:id="rId10" name="Button 34">
              <controlPr defaultSize="0" print="0" autoFill="0" autoPict="0" macro="[0]!clear_cookie_inventory_input">
                <anchor moveWithCells="1" sizeWithCells="1">
                  <from>
                    <xdr:col>5</xdr:col>
                    <xdr:colOff>317500</xdr:colOff>
                    <xdr:row>54</xdr:row>
                    <xdr:rowOff>139700</xdr:rowOff>
                  </from>
                  <to>
                    <xdr:col>7</xdr:col>
                    <xdr:colOff>228600</xdr:colOff>
                    <xdr:row>57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31" r:id="rId11" name="Button 35">
              <controlPr defaultSize="0" print="0" autoFill="0" autoPict="0" macro="[0]!clear_ingredient_inventory_input">
                <anchor moveWithCells="1" sizeWithCells="1">
                  <from>
                    <xdr:col>10</xdr:col>
                    <xdr:colOff>660400</xdr:colOff>
                    <xdr:row>47</xdr:row>
                    <xdr:rowOff>177800</xdr:rowOff>
                  </from>
                  <to>
                    <xdr:col>12</xdr:col>
                    <xdr:colOff>228600</xdr:colOff>
                    <xdr:row>50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38" r:id="rId12" name="Button 42">
              <controlPr defaultSize="0" print="0" autoFill="0" autoPict="0" macro="[0]!shift_baking_schedule_one_day">
                <anchor moveWithCells="1" sizeWithCells="1">
                  <from>
                    <xdr:col>2</xdr:col>
                    <xdr:colOff>381000</xdr:colOff>
                    <xdr:row>1</xdr:row>
                    <xdr:rowOff>101600</xdr:rowOff>
                  </from>
                  <to>
                    <xdr:col>3</xdr:col>
                    <xdr:colOff>825500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40" r:id="rId13" name="Button 44">
              <controlPr defaultSize="0" print="0" autoFill="0" autoPict="0" macro="[0]!change_baking_schedule_available">
                <anchor moveWithCells="1" sizeWithCells="1">
                  <from>
                    <xdr:col>4</xdr:col>
                    <xdr:colOff>88900</xdr:colOff>
                    <xdr:row>60</xdr:row>
                    <xdr:rowOff>76200</xdr:rowOff>
                  </from>
                  <to>
                    <xdr:col>5</xdr:col>
                    <xdr:colOff>939800</xdr:colOff>
                    <xdr:row>63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41" r:id="rId14" name="Button 45">
              <controlPr defaultSize="0" print="0" autoFill="0" autoPict="0" macro="[0]!move_available_to_reserved">
                <anchor moveWithCells="1" sizeWithCells="1">
                  <from>
                    <xdr:col>5</xdr:col>
                    <xdr:colOff>368300</xdr:colOff>
                    <xdr:row>47</xdr:row>
                    <xdr:rowOff>25400</xdr:rowOff>
                  </from>
                  <to>
                    <xdr:col>7</xdr:col>
                    <xdr:colOff>342900</xdr:colOff>
                    <xdr:row>50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42" r:id="rId15" name="Button 46">
              <controlPr defaultSize="0" print="0" autoFill="0" autoPict="0" macro="[0]!move_reserved_to_available">
                <anchor moveWithCells="1" sizeWithCells="1">
                  <from>
                    <xdr:col>5</xdr:col>
                    <xdr:colOff>431800</xdr:colOff>
                    <xdr:row>50</xdr:row>
                    <xdr:rowOff>139700</xdr:rowOff>
                  </from>
                  <to>
                    <xdr:col>7</xdr:col>
                    <xdr:colOff>482600</xdr:colOff>
                    <xdr:row>54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emergency_data_update_shortcut">
                <anchor moveWithCells="1" sizeWithCells="1">
                  <from>
                    <xdr:col>26</xdr:col>
                    <xdr:colOff>76200</xdr:colOff>
                    <xdr:row>1</xdr:row>
                    <xdr:rowOff>76200</xdr:rowOff>
                  </from>
                  <to>
                    <xdr:col>28</xdr:col>
                    <xdr:colOff>393700</xdr:colOff>
                    <xdr:row>4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Cookie_Inventory!$D$4:$F$4</xm:f>
          </x14:formula1>
          <xm:sqref>C38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B1:G49"/>
  <sheetViews>
    <sheetView showRuler="0" topLeftCell="A29" workbookViewId="0">
      <selection activeCell="H27" sqref="H27"/>
    </sheetView>
  </sheetViews>
  <sheetFormatPr baseColWidth="10" defaultRowHeight="15" x14ac:dyDescent="0"/>
  <cols>
    <col min="2" max="2" width="28" customWidth="1"/>
    <col min="3" max="3" width="44.83203125" customWidth="1"/>
    <col min="4" max="4" width="10" customWidth="1"/>
    <col min="5" max="8" width="24.6640625" customWidth="1"/>
    <col min="9" max="9" width="10.6640625" bestFit="1" customWidth="1"/>
    <col min="11" max="11" width="26.6640625" bestFit="1" customWidth="1"/>
    <col min="12" max="12" width="28.1640625" bestFit="1" customWidth="1"/>
  </cols>
  <sheetData>
    <row r="1" spans="2:7">
      <c r="B1" s="27" t="s">
        <v>208</v>
      </c>
    </row>
    <row r="6" spans="2:7" ht="18">
      <c r="C6" s="77" t="s">
        <v>246</v>
      </c>
      <c r="D6" s="77" t="s">
        <v>70</v>
      </c>
      <c r="E6" s="77" t="s">
        <v>272</v>
      </c>
      <c r="G6" s="77" t="s">
        <v>273</v>
      </c>
    </row>
    <row r="7" spans="2:7" ht="18">
      <c r="B7" s="69" t="s">
        <v>267</v>
      </c>
      <c r="C7" s="133" t="s">
        <v>209</v>
      </c>
      <c r="D7" s="134"/>
      <c r="E7" s="135">
        <v>0</v>
      </c>
      <c r="F7" s="67"/>
      <c r="G7" s="137">
        <v>0</v>
      </c>
    </row>
    <row r="8" spans="2:7" ht="18">
      <c r="B8" s="66"/>
      <c r="C8" s="133" t="s">
        <v>210</v>
      </c>
      <c r="D8" s="134"/>
      <c r="E8" s="135">
        <v>0</v>
      </c>
      <c r="F8" s="67"/>
      <c r="G8" s="137">
        <v>0</v>
      </c>
    </row>
    <row r="9" spans="2:7" ht="18">
      <c r="B9" s="66"/>
      <c r="C9" s="133" t="s">
        <v>211</v>
      </c>
      <c r="D9" s="134"/>
      <c r="E9" s="135">
        <v>0</v>
      </c>
      <c r="F9" s="67"/>
      <c r="G9" s="137">
        <v>0</v>
      </c>
    </row>
    <row r="10" spans="2:7" ht="18">
      <c r="B10" s="66"/>
      <c r="C10" s="133" t="s">
        <v>212</v>
      </c>
      <c r="D10" s="133" t="s">
        <v>247</v>
      </c>
      <c r="E10" s="135">
        <v>0</v>
      </c>
      <c r="F10" s="67"/>
      <c r="G10" s="137">
        <v>0</v>
      </c>
    </row>
    <row r="11" spans="2:7" ht="18">
      <c r="B11" s="66"/>
      <c r="C11" s="133" t="s">
        <v>213</v>
      </c>
      <c r="D11" s="134"/>
      <c r="E11" s="135">
        <v>0</v>
      </c>
      <c r="F11" s="67"/>
      <c r="G11" s="137">
        <v>0</v>
      </c>
    </row>
    <row r="12" spans="2:7" ht="18">
      <c r="B12" s="66"/>
      <c r="C12" s="136" t="s">
        <v>260</v>
      </c>
      <c r="D12" s="134"/>
      <c r="E12" s="135">
        <v>0</v>
      </c>
      <c r="F12" s="66"/>
      <c r="G12" s="137">
        <v>0</v>
      </c>
    </row>
    <row r="13" spans="2:7" ht="18">
      <c r="B13" s="66"/>
      <c r="C13" s="136" t="s">
        <v>261</v>
      </c>
      <c r="D13" s="134"/>
      <c r="E13" s="135">
        <v>0</v>
      </c>
      <c r="F13" s="66"/>
      <c r="G13" s="137">
        <v>0</v>
      </c>
    </row>
    <row r="14" spans="2:7" ht="18">
      <c r="B14" s="66"/>
      <c r="C14" s="133" t="s">
        <v>214</v>
      </c>
      <c r="D14" s="134"/>
      <c r="E14" s="135">
        <v>0</v>
      </c>
      <c r="F14" s="67"/>
      <c r="G14" s="137">
        <v>0</v>
      </c>
    </row>
    <row r="15" spans="2:7" ht="18">
      <c r="B15" s="66"/>
      <c r="C15" s="133" t="s">
        <v>215</v>
      </c>
      <c r="D15" s="134"/>
      <c r="E15" s="135">
        <v>0</v>
      </c>
      <c r="F15" s="67"/>
      <c r="G15" s="137">
        <v>0</v>
      </c>
    </row>
    <row r="16" spans="2:7" ht="18">
      <c r="B16" s="66"/>
      <c r="C16" s="133" t="s">
        <v>216</v>
      </c>
      <c r="D16" s="134"/>
      <c r="E16" s="135">
        <v>0</v>
      </c>
      <c r="F16" s="67"/>
      <c r="G16" s="137">
        <v>0</v>
      </c>
    </row>
    <row r="17" spans="2:7" ht="18">
      <c r="B17" s="66"/>
      <c r="C17" s="133" t="s">
        <v>223</v>
      </c>
      <c r="D17" s="133" t="s">
        <v>251</v>
      </c>
      <c r="E17" s="135">
        <v>0</v>
      </c>
      <c r="F17" s="67"/>
      <c r="G17" s="137">
        <v>0</v>
      </c>
    </row>
    <row r="18" spans="2:7" ht="18">
      <c r="B18" s="66"/>
      <c r="C18" s="133" t="s">
        <v>225</v>
      </c>
      <c r="D18" s="133" t="s">
        <v>251</v>
      </c>
      <c r="E18" s="135">
        <v>0</v>
      </c>
      <c r="F18" s="67"/>
      <c r="G18" s="137">
        <v>0</v>
      </c>
    </row>
    <row r="19" spans="2:7" ht="18">
      <c r="B19" s="66"/>
      <c r="C19" s="133" t="s">
        <v>231</v>
      </c>
      <c r="D19" s="134"/>
      <c r="E19" s="135">
        <v>0</v>
      </c>
      <c r="F19" s="67"/>
      <c r="G19" s="137">
        <v>0</v>
      </c>
    </row>
    <row r="20" spans="2:7" ht="18">
      <c r="B20" s="69" t="s">
        <v>268</v>
      </c>
      <c r="C20" s="133" t="s">
        <v>242</v>
      </c>
      <c r="D20" s="133" t="s">
        <v>247</v>
      </c>
      <c r="E20" s="135">
        <v>0</v>
      </c>
      <c r="F20" s="67"/>
      <c r="G20" s="137">
        <v>0</v>
      </c>
    </row>
    <row r="21" spans="2:7" ht="18">
      <c r="B21" s="66"/>
      <c r="C21" s="133" t="s">
        <v>243</v>
      </c>
      <c r="D21" s="133" t="s">
        <v>247</v>
      </c>
      <c r="E21" s="135">
        <v>0</v>
      </c>
      <c r="F21" s="67"/>
      <c r="G21" s="137">
        <v>0</v>
      </c>
    </row>
    <row r="22" spans="2:7" ht="18">
      <c r="B22" s="66"/>
      <c r="C22" s="133" t="s">
        <v>244</v>
      </c>
      <c r="D22" s="134"/>
      <c r="E22" s="135">
        <v>0</v>
      </c>
      <c r="F22" s="67"/>
      <c r="G22" s="137">
        <v>0</v>
      </c>
    </row>
    <row r="23" spans="2:7" ht="18">
      <c r="B23" s="66"/>
      <c r="C23" s="133" t="s">
        <v>232</v>
      </c>
      <c r="D23" s="134"/>
      <c r="E23" s="135">
        <v>0</v>
      </c>
      <c r="F23" s="67"/>
      <c r="G23" s="137">
        <v>0</v>
      </c>
    </row>
    <row r="24" spans="2:7" ht="18">
      <c r="B24" s="66"/>
      <c r="C24" s="133" t="s">
        <v>233</v>
      </c>
      <c r="D24" s="134"/>
      <c r="E24" s="135">
        <v>0</v>
      </c>
      <c r="F24" s="67"/>
      <c r="G24" s="137">
        <v>0</v>
      </c>
    </row>
    <row r="25" spans="2:7" ht="18">
      <c r="B25" s="69" t="s">
        <v>269</v>
      </c>
      <c r="C25" s="133" t="s">
        <v>238</v>
      </c>
      <c r="D25" s="134"/>
      <c r="E25" s="135">
        <v>0</v>
      </c>
      <c r="F25" s="67"/>
      <c r="G25" s="137">
        <v>0</v>
      </c>
    </row>
    <row r="26" spans="2:7" ht="18">
      <c r="B26" s="69" t="s">
        <v>270</v>
      </c>
      <c r="C26" s="133" t="s">
        <v>224</v>
      </c>
      <c r="D26" s="133" t="s">
        <v>251</v>
      </c>
      <c r="E26" s="135">
        <v>0</v>
      </c>
      <c r="F26" s="67"/>
      <c r="G26" s="137">
        <v>0</v>
      </c>
    </row>
    <row r="27" spans="2:7" ht="18">
      <c r="B27" s="66"/>
      <c r="C27" s="136" t="s">
        <v>262</v>
      </c>
      <c r="D27" s="136" t="s">
        <v>263</v>
      </c>
      <c r="E27" s="135">
        <v>0</v>
      </c>
      <c r="F27" s="68"/>
      <c r="G27" s="138">
        <v>0</v>
      </c>
    </row>
    <row r="28" spans="2:7" ht="18">
      <c r="B28" s="66"/>
      <c r="C28" s="136" t="s">
        <v>271</v>
      </c>
      <c r="D28" s="136" t="s">
        <v>264</v>
      </c>
      <c r="E28" s="135">
        <v>0</v>
      </c>
      <c r="F28" s="68"/>
      <c r="G28" s="138">
        <v>0</v>
      </c>
    </row>
    <row r="29" spans="2:7" ht="18">
      <c r="B29" s="66"/>
      <c r="C29" s="133" t="s">
        <v>235</v>
      </c>
      <c r="D29" s="133" t="s">
        <v>252</v>
      </c>
      <c r="E29" s="135">
        <v>0</v>
      </c>
      <c r="F29" s="67"/>
      <c r="G29" s="137">
        <v>0</v>
      </c>
    </row>
    <row r="30" spans="2:7" ht="18">
      <c r="B30" s="66"/>
      <c r="C30" s="133" t="s">
        <v>220</v>
      </c>
      <c r="D30" s="133" t="s">
        <v>250</v>
      </c>
      <c r="E30" s="135">
        <v>0</v>
      </c>
      <c r="F30" s="67"/>
      <c r="G30" s="137">
        <v>0</v>
      </c>
    </row>
    <row r="31" spans="2:7" ht="18">
      <c r="B31" s="66"/>
      <c r="C31" s="133" t="s">
        <v>221</v>
      </c>
      <c r="D31" s="133" t="s">
        <v>250</v>
      </c>
      <c r="E31" s="135">
        <v>0</v>
      </c>
      <c r="F31" s="67"/>
      <c r="G31" s="137">
        <v>0</v>
      </c>
    </row>
    <row r="32" spans="2:7" ht="18">
      <c r="B32" s="66"/>
      <c r="C32" s="133" t="s">
        <v>265</v>
      </c>
      <c r="D32" s="133" t="s">
        <v>248</v>
      </c>
      <c r="E32" s="135">
        <v>0</v>
      </c>
      <c r="F32" s="67"/>
      <c r="G32" s="137">
        <v>0</v>
      </c>
    </row>
    <row r="33" spans="2:7" ht="18">
      <c r="B33" s="66"/>
      <c r="C33" s="133" t="s">
        <v>217</v>
      </c>
      <c r="D33" s="133" t="s">
        <v>248</v>
      </c>
      <c r="E33" s="135">
        <v>0</v>
      </c>
      <c r="F33" s="67"/>
      <c r="G33" s="137">
        <v>0</v>
      </c>
    </row>
    <row r="34" spans="2:7" ht="18">
      <c r="B34" s="66"/>
      <c r="C34" s="133" t="s">
        <v>226</v>
      </c>
      <c r="D34" s="134"/>
      <c r="E34" s="135">
        <v>0</v>
      </c>
      <c r="F34" s="67"/>
      <c r="G34" s="137">
        <v>0</v>
      </c>
    </row>
    <row r="35" spans="2:7" ht="18">
      <c r="B35" s="66"/>
      <c r="C35" s="133" t="s">
        <v>227</v>
      </c>
      <c r="D35" s="134"/>
      <c r="E35" s="135">
        <v>0</v>
      </c>
      <c r="F35" s="67"/>
      <c r="G35" s="137">
        <v>0</v>
      </c>
    </row>
    <row r="36" spans="2:7" ht="18">
      <c r="B36" s="66"/>
      <c r="C36" s="133" t="s">
        <v>228</v>
      </c>
      <c r="D36" s="133" t="s">
        <v>247</v>
      </c>
      <c r="E36" s="135">
        <v>0</v>
      </c>
      <c r="F36" s="67"/>
      <c r="G36" s="137">
        <v>0</v>
      </c>
    </row>
    <row r="37" spans="2:7" ht="18">
      <c r="B37" s="66"/>
      <c r="C37" s="133" t="s">
        <v>245</v>
      </c>
      <c r="D37" s="133" t="s">
        <v>250</v>
      </c>
      <c r="E37" s="135">
        <v>0</v>
      </c>
      <c r="F37" s="67"/>
      <c r="G37" s="137">
        <v>0</v>
      </c>
    </row>
    <row r="38" spans="2:7" ht="18">
      <c r="B38" s="66"/>
      <c r="C38" s="133" t="s">
        <v>229</v>
      </c>
      <c r="D38" s="133" t="s">
        <v>247</v>
      </c>
      <c r="E38" s="135">
        <v>0</v>
      </c>
      <c r="F38" s="67"/>
      <c r="G38" s="137">
        <v>0</v>
      </c>
    </row>
    <row r="39" spans="2:7" ht="18">
      <c r="B39" s="66"/>
      <c r="C39" s="133" t="s">
        <v>219</v>
      </c>
      <c r="D39" s="133" t="s">
        <v>249</v>
      </c>
      <c r="E39" s="135">
        <v>0</v>
      </c>
      <c r="F39" s="67"/>
      <c r="G39" s="137">
        <v>0</v>
      </c>
    </row>
    <row r="40" spans="2:7" ht="18">
      <c r="B40" s="66"/>
      <c r="C40" s="133" t="s">
        <v>218</v>
      </c>
      <c r="D40" s="133" t="s">
        <v>248</v>
      </c>
      <c r="E40" s="135">
        <v>0</v>
      </c>
      <c r="F40" s="67"/>
      <c r="G40" s="137">
        <v>0</v>
      </c>
    </row>
    <row r="41" spans="2:7" ht="18">
      <c r="B41" s="66"/>
      <c r="C41" s="133" t="s">
        <v>222</v>
      </c>
      <c r="D41" s="133" t="s">
        <v>249</v>
      </c>
      <c r="E41" s="135">
        <v>0</v>
      </c>
      <c r="F41" s="67"/>
      <c r="G41" s="137">
        <v>0</v>
      </c>
    </row>
    <row r="42" spans="2:7" ht="18">
      <c r="B42" s="66"/>
      <c r="C42" s="133" t="s">
        <v>240</v>
      </c>
      <c r="D42" s="133" t="s">
        <v>253</v>
      </c>
      <c r="E42" s="135">
        <v>0</v>
      </c>
      <c r="F42" s="67"/>
      <c r="G42" s="137">
        <v>0</v>
      </c>
    </row>
    <row r="43" spans="2:7" ht="18">
      <c r="B43" s="66"/>
      <c r="C43" s="136" t="s">
        <v>266</v>
      </c>
      <c r="D43" s="134"/>
      <c r="E43" s="135">
        <v>0</v>
      </c>
      <c r="F43" s="66"/>
      <c r="G43" s="139">
        <v>0</v>
      </c>
    </row>
    <row r="44" spans="2:7" ht="18">
      <c r="B44" s="66"/>
      <c r="C44" s="133" t="s">
        <v>239</v>
      </c>
      <c r="D44" s="133" t="s">
        <v>253</v>
      </c>
      <c r="E44" s="135">
        <v>0</v>
      </c>
      <c r="F44" s="67"/>
      <c r="G44" s="137">
        <v>0</v>
      </c>
    </row>
    <row r="45" spans="2:7" ht="18">
      <c r="B45" s="66"/>
      <c r="C45" s="133" t="s">
        <v>230</v>
      </c>
      <c r="D45" s="133" t="s">
        <v>247</v>
      </c>
      <c r="E45" s="135">
        <v>0</v>
      </c>
      <c r="F45" s="67"/>
      <c r="G45" s="137">
        <v>0</v>
      </c>
    </row>
    <row r="46" spans="2:7" ht="18">
      <c r="B46" s="66"/>
      <c r="C46" s="133" t="s">
        <v>234</v>
      </c>
      <c r="D46" s="133" t="s">
        <v>247</v>
      </c>
      <c r="E46" s="135">
        <v>0</v>
      </c>
      <c r="F46" s="67"/>
      <c r="G46" s="137">
        <v>0</v>
      </c>
    </row>
    <row r="47" spans="2:7" ht="18">
      <c r="B47" s="66"/>
      <c r="C47" s="133" t="s">
        <v>236</v>
      </c>
      <c r="D47" s="134"/>
      <c r="E47" s="135">
        <v>0</v>
      </c>
      <c r="F47" s="67"/>
      <c r="G47" s="137">
        <v>0</v>
      </c>
    </row>
    <row r="48" spans="2:7" ht="18">
      <c r="B48" s="66"/>
      <c r="C48" s="133" t="s">
        <v>237</v>
      </c>
      <c r="D48" s="134"/>
      <c r="E48" s="135">
        <v>0</v>
      </c>
      <c r="F48" s="67"/>
      <c r="G48" s="137">
        <v>0</v>
      </c>
    </row>
    <row r="49" spans="3:7" ht="18">
      <c r="C49" s="133" t="s">
        <v>241</v>
      </c>
      <c r="D49" s="133" t="s">
        <v>247</v>
      </c>
      <c r="E49" s="135">
        <v>0</v>
      </c>
      <c r="F49" s="67"/>
      <c r="G49" s="137">
        <v>0</v>
      </c>
    </row>
  </sheetData>
  <sheetProtection sheet="1" objects="1" scenarios="1"/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terials_add">
                <anchor moveWithCells="1" sizeWithCells="1">
                  <from>
                    <xdr:col>7</xdr:col>
                    <xdr:colOff>419100</xdr:colOff>
                    <xdr:row>4</xdr:row>
                    <xdr:rowOff>101600</xdr:rowOff>
                  </from>
                  <to>
                    <xdr:col>8</xdr:col>
                    <xdr:colOff>495300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materials_remove">
                <anchor moveWithCells="1" sizeWithCells="1">
                  <from>
                    <xdr:col>7</xdr:col>
                    <xdr:colOff>393700</xdr:colOff>
                    <xdr:row>9</xdr:row>
                    <xdr:rowOff>38100</xdr:rowOff>
                  </from>
                  <to>
                    <xdr:col>8</xdr:col>
                    <xdr:colOff>444500</xdr:colOff>
                    <xdr:row>12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materials_clear">
                <anchor moveWithCells="1" sizeWithCells="1">
                  <from>
                    <xdr:col>7</xdr:col>
                    <xdr:colOff>393700</xdr:colOff>
                    <xdr:row>13</xdr:row>
                    <xdr:rowOff>152400</xdr:rowOff>
                  </from>
                  <to>
                    <xdr:col>8</xdr:col>
                    <xdr:colOff>393700</xdr:colOff>
                    <xdr:row>16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B1:V42"/>
  <sheetViews>
    <sheetView showRuler="0" topLeftCell="A2" workbookViewId="0">
      <selection activeCell="E17" sqref="E17"/>
    </sheetView>
  </sheetViews>
  <sheetFormatPr baseColWidth="10" defaultRowHeight="15" x14ac:dyDescent="0"/>
  <cols>
    <col min="4" max="4" width="15.5" customWidth="1"/>
  </cols>
  <sheetData>
    <row r="1" spans="2:22">
      <c r="G1" s="27"/>
    </row>
    <row r="2" spans="2:22">
      <c r="B2" s="64" t="s">
        <v>274</v>
      </c>
      <c r="F2" s="27"/>
      <c r="G2" s="27"/>
    </row>
    <row r="3" spans="2:22">
      <c r="D3" s="39" t="s">
        <v>162</v>
      </c>
      <c r="G3" s="27"/>
    </row>
    <row r="4" spans="2:22">
      <c r="D4" s="63" t="s">
        <v>256</v>
      </c>
      <c r="F4" s="27"/>
      <c r="G4" s="27"/>
    </row>
    <row r="5" spans="2:22">
      <c r="D5" s="35" t="s">
        <v>278</v>
      </c>
      <c r="G5" s="27"/>
    </row>
    <row r="6" spans="2:22">
      <c r="D6" s="106" t="s">
        <v>140</v>
      </c>
      <c r="E6" s="48">
        <v>42590</v>
      </c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59"/>
      <c r="S6" s="59"/>
      <c r="T6" s="59"/>
      <c r="U6" s="59"/>
      <c r="V6" s="59"/>
    </row>
    <row r="7" spans="2:22">
      <c r="D7" s="106" t="s">
        <v>139</v>
      </c>
      <c r="E7" s="1" t="s">
        <v>197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2:22">
      <c r="D8" s="106" t="s">
        <v>23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2:22">
      <c r="D9" s="106" t="s">
        <v>131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2:22">
      <c r="D10" s="106" t="s">
        <v>132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2:22">
      <c r="D11" s="106" t="s">
        <v>143</v>
      </c>
      <c r="E11" s="48">
        <v>42585</v>
      </c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59"/>
      <c r="S11" s="59"/>
      <c r="T11" s="59"/>
      <c r="U11" s="59"/>
      <c r="V11" s="59"/>
    </row>
    <row r="12" spans="2:22">
      <c r="D12" s="106" t="s">
        <v>135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2:22">
      <c r="D13" s="106" t="s">
        <v>133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2:22">
      <c r="D14" s="106" t="s">
        <v>134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2:22">
      <c r="D15" s="106" t="s">
        <v>141</v>
      </c>
      <c r="E15" s="1" t="s">
        <v>145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22">
      <c r="D16" s="106" t="s">
        <v>142</v>
      </c>
      <c r="E16" s="1">
        <v>2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4:17">
      <c r="D17" s="35" t="s">
        <v>0</v>
      </c>
      <c r="E17" s="1">
        <v>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4:17">
      <c r="D18" s="35" t="s">
        <v>5</v>
      </c>
      <c r="E18" s="1">
        <v>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4:17">
      <c r="D19" s="35" t="s">
        <v>6</v>
      </c>
      <c r="E19" s="1">
        <v>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4:17">
      <c r="D20" s="35" t="s">
        <v>7</v>
      </c>
      <c r="E20" s="1">
        <v>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4:17">
      <c r="D21" s="35" t="s">
        <v>8</v>
      </c>
      <c r="E21" s="1">
        <v>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4:17">
      <c r="D22" s="35" t="s">
        <v>3</v>
      </c>
      <c r="E22" s="1">
        <v>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4:17">
      <c r="D23" s="35" t="s">
        <v>9</v>
      </c>
      <c r="E23" s="1">
        <v>0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4:17">
      <c r="D24" s="35" t="s">
        <v>10</v>
      </c>
      <c r="E24" s="1">
        <v>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4:17">
      <c r="D25" s="35" t="s">
        <v>11</v>
      </c>
      <c r="E25" s="1">
        <v>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4:17">
      <c r="D26" s="35" t="s">
        <v>1</v>
      </c>
      <c r="E26" s="1">
        <v>0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4:17">
      <c r="D27" s="35" t="s">
        <v>12</v>
      </c>
      <c r="E27" s="1">
        <v>0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4:17">
      <c r="D28" s="35" t="s">
        <v>13</v>
      </c>
      <c r="E28" s="1">
        <v>0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4:17">
      <c r="D29" s="35" t="s">
        <v>14</v>
      </c>
      <c r="E29" s="1">
        <v>0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4:17">
      <c r="D30" s="35" t="s">
        <v>15</v>
      </c>
      <c r="E30" s="1">
        <v>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4:17">
      <c r="D31" s="35" t="s">
        <v>16</v>
      </c>
      <c r="E31" s="1">
        <v>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4:17">
      <c r="D32" s="35" t="s">
        <v>17</v>
      </c>
      <c r="E32" s="1">
        <v>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4:17">
      <c r="D33" s="35" t="s">
        <v>18</v>
      </c>
      <c r="E33" s="1">
        <v>0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4:17">
      <c r="D34" s="35" t="s">
        <v>19</v>
      </c>
      <c r="E34" s="1">
        <v>0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4:17">
      <c r="D35" s="35" t="s">
        <v>24</v>
      </c>
      <c r="E35" s="1">
        <v>0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4:17">
      <c r="D36" s="35" t="s">
        <v>20</v>
      </c>
      <c r="E36" s="1">
        <v>0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4:17">
      <c r="D37" s="35" t="s">
        <v>21</v>
      </c>
      <c r="E37" s="1">
        <v>0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4:17">
      <c r="D38" s="35" t="s">
        <v>22</v>
      </c>
      <c r="E38" s="1">
        <v>0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4:17">
      <c r="D39" s="106" t="s">
        <v>163</v>
      </c>
      <c r="E39" s="1">
        <v>128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4:17">
      <c r="D40" s="106" t="s">
        <v>136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4:17">
      <c r="D41" s="107" t="s">
        <v>137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4:17">
      <c r="D42" s="106" t="s">
        <v>161</v>
      </c>
      <c r="E42" s="1" t="s">
        <v>256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</sheetData>
  <sheetProtection sheet="1" objects="1" scenarios="1"/>
  <sortState columnSort="1" ref="E6:I42">
    <sortCondition ref="E6"/>
  </sortState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refresh_packaging_schedule">
                <anchor moveWithCells="1" sizeWithCells="1">
                  <from>
                    <xdr:col>0</xdr:col>
                    <xdr:colOff>342900</xdr:colOff>
                    <xdr:row>4</xdr:row>
                    <xdr:rowOff>50800</xdr:rowOff>
                  </from>
                  <to>
                    <xdr:col>2</xdr:col>
                    <xdr:colOff>508000</xdr:colOff>
                    <xdr:row>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ort_packaging_schedule">
                <anchor moveWithCells="1" sizeWithCells="1">
                  <from>
                    <xdr:col>0</xdr:col>
                    <xdr:colOff>342900</xdr:colOff>
                    <xdr:row>9</xdr:row>
                    <xdr:rowOff>127000</xdr:rowOff>
                  </from>
                  <to>
                    <xdr:col>2</xdr:col>
                    <xdr:colOff>495300</xdr:colOff>
                    <xdr:row>13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move_rightmost_column_packaging">
                <anchor moveWithCells="1" sizeWithCells="1">
                  <from>
                    <xdr:col>0</xdr:col>
                    <xdr:colOff>330200</xdr:colOff>
                    <xdr:row>19</xdr:row>
                    <xdr:rowOff>152400</xdr:rowOff>
                  </from>
                  <to>
                    <xdr:col>2</xdr:col>
                    <xdr:colOff>520700</xdr:colOff>
                    <xdr:row>23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move_leftmost_column_packaging">
                <anchor moveWithCells="1" sizeWithCells="1">
                  <from>
                    <xdr:col>0</xdr:col>
                    <xdr:colOff>355600</xdr:colOff>
                    <xdr:row>14</xdr:row>
                    <xdr:rowOff>139700</xdr:rowOff>
                  </from>
                  <to>
                    <xdr:col>2</xdr:col>
                    <xdr:colOff>622300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B2:Q41"/>
  <sheetViews>
    <sheetView showRuler="0" workbookViewId="0">
      <selection activeCell="E15" sqref="E15:G15"/>
    </sheetView>
  </sheetViews>
  <sheetFormatPr baseColWidth="10" defaultRowHeight="15" x14ac:dyDescent="0"/>
  <cols>
    <col min="4" max="4" width="19.33203125" customWidth="1"/>
  </cols>
  <sheetData>
    <row r="2" spans="2:17">
      <c r="B2" s="27" t="s">
        <v>254</v>
      </c>
      <c r="D2" s="39" t="s">
        <v>256</v>
      </c>
      <c r="F2" s="27"/>
    </row>
    <row r="3" spans="2:17">
      <c r="D3" s="39" t="s">
        <v>257</v>
      </c>
      <c r="F3" s="27"/>
    </row>
    <row r="4" spans="2:17">
      <c r="D4" s="65" t="s">
        <v>255</v>
      </c>
      <c r="F4" s="27"/>
    </row>
    <row r="5" spans="2:17">
      <c r="D5" s="106" t="s">
        <v>140</v>
      </c>
      <c r="E5" s="48">
        <v>42588</v>
      </c>
      <c r="F5" s="48">
        <v>42590</v>
      </c>
      <c r="G5" s="48">
        <v>42591</v>
      </c>
      <c r="H5" s="48"/>
      <c r="I5" s="48"/>
      <c r="J5" s="48"/>
      <c r="K5" s="1"/>
      <c r="L5" s="1"/>
      <c r="M5" s="1"/>
      <c r="N5" s="1"/>
      <c r="O5" s="1"/>
      <c r="P5" s="1"/>
      <c r="Q5" s="1"/>
    </row>
    <row r="6" spans="2:17">
      <c r="D6" s="106" t="s">
        <v>139</v>
      </c>
      <c r="E6" s="1" t="s">
        <v>198</v>
      </c>
      <c r="F6" s="1" t="s">
        <v>197</v>
      </c>
      <c r="G6" s="1" t="s">
        <v>199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2:17">
      <c r="D7" s="106" t="s">
        <v>23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2:17">
      <c r="D8" s="106" t="s">
        <v>131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2:17">
      <c r="D9" s="106" t="s">
        <v>132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2:17">
      <c r="D10" s="106" t="s">
        <v>143</v>
      </c>
      <c r="E10" s="48">
        <v>42585</v>
      </c>
      <c r="F10" s="48">
        <v>42585</v>
      </c>
      <c r="G10" s="48">
        <v>42585</v>
      </c>
      <c r="H10" s="48"/>
      <c r="I10" s="48"/>
      <c r="J10" s="48"/>
      <c r="K10" s="1"/>
      <c r="L10" s="1"/>
      <c r="M10" s="1"/>
      <c r="N10" s="1"/>
      <c r="O10" s="1"/>
      <c r="P10" s="1"/>
      <c r="Q10" s="1"/>
    </row>
    <row r="11" spans="2:17">
      <c r="D11" s="106" t="s">
        <v>135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2:17">
      <c r="D12" s="106" t="s">
        <v>133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2:17">
      <c r="D13" s="106" t="s">
        <v>134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2:17">
      <c r="D14" s="106" t="s">
        <v>141</v>
      </c>
      <c r="E14" s="1" t="s">
        <v>144</v>
      </c>
      <c r="F14" s="1" t="s">
        <v>145</v>
      </c>
      <c r="G14" s="1" t="s">
        <v>144</v>
      </c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2:17">
      <c r="D15" s="106" t="s">
        <v>142</v>
      </c>
      <c r="E15" s="1">
        <v>2</v>
      </c>
      <c r="F15" s="1">
        <v>2</v>
      </c>
      <c r="G15" s="1">
        <v>2</v>
      </c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>
      <c r="D16" s="35" t="s">
        <v>0</v>
      </c>
      <c r="E16" s="1">
        <v>4</v>
      </c>
      <c r="F16" s="1">
        <v>1</v>
      </c>
      <c r="G16" s="1">
        <v>4</v>
      </c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4:17">
      <c r="D17" s="35" t="s">
        <v>5</v>
      </c>
      <c r="E17" s="1">
        <v>5</v>
      </c>
      <c r="F17" s="1">
        <v>5</v>
      </c>
      <c r="G17" s="1">
        <v>12</v>
      </c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4:17">
      <c r="D18" s="35" t="s">
        <v>6</v>
      </c>
      <c r="E18" s="1">
        <v>4</v>
      </c>
      <c r="F18" s="1">
        <v>5</v>
      </c>
      <c r="G18" s="1">
        <v>8</v>
      </c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4:17">
      <c r="D19" s="35" t="s">
        <v>7</v>
      </c>
      <c r="E19" s="1">
        <v>12</v>
      </c>
      <c r="F19" s="1">
        <v>6</v>
      </c>
      <c r="G19" s="1">
        <v>8</v>
      </c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4:17">
      <c r="D20" s="35" t="s">
        <v>8</v>
      </c>
      <c r="E20" s="1">
        <v>12</v>
      </c>
      <c r="F20" s="1">
        <v>2</v>
      </c>
      <c r="G20" s="1">
        <v>6</v>
      </c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4:17">
      <c r="D21" s="35" t="s">
        <v>3</v>
      </c>
      <c r="E21" s="1">
        <v>5</v>
      </c>
      <c r="F21" s="1">
        <v>6</v>
      </c>
      <c r="G21" s="1">
        <v>2</v>
      </c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4:17">
      <c r="D22" s="35" t="s">
        <v>9</v>
      </c>
      <c r="E22" s="1">
        <v>4</v>
      </c>
      <c r="F22" s="1">
        <v>4</v>
      </c>
      <c r="G22" s="1">
        <v>7</v>
      </c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4:17">
      <c r="D23" s="35" t="s">
        <v>10</v>
      </c>
      <c r="E23" s="1">
        <v>2</v>
      </c>
      <c r="F23" s="1">
        <v>8</v>
      </c>
      <c r="G23" s="1">
        <v>9</v>
      </c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4:17">
      <c r="D24" s="35" t="s">
        <v>11</v>
      </c>
      <c r="E24" s="1">
        <v>2</v>
      </c>
      <c r="F24" s="1">
        <v>7</v>
      </c>
      <c r="G24" s="1">
        <v>11</v>
      </c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4:17">
      <c r="D25" s="35" t="s">
        <v>1</v>
      </c>
      <c r="E25" s="1">
        <v>8</v>
      </c>
      <c r="F25" s="1">
        <v>2</v>
      </c>
      <c r="G25" s="1">
        <v>11</v>
      </c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4:17">
      <c r="D26" s="35" t="s">
        <v>12</v>
      </c>
      <c r="E26" s="1">
        <v>5</v>
      </c>
      <c r="F26" s="1">
        <v>12</v>
      </c>
      <c r="G26" s="1">
        <v>1</v>
      </c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4:17">
      <c r="D27" s="35" t="s">
        <v>13</v>
      </c>
      <c r="E27" s="1">
        <v>5</v>
      </c>
      <c r="F27" s="1">
        <v>8</v>
      </c>
      <c r="G27" s="1">
        <v>7</v>
      </c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4:17">
      <c r="D28" s="35" t="s">
        <v>14</v>
      </c>
      <c r="E28" s="1">
        <v>9</v>
      </c>
      <c r="F28" s="1">
        <v>7</v>
      </c>
      <c r="G28" s="1">
        <v>11</v>
      </c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4:17">
      <c r="D29" s="35" t="s">
        <v>15</v>
      </c>
      <c r="E29" s="1">
        <v>4</v>
      </c>
      <c r="F29" s="1">
        <v>5</v>
      </c>
      <c r="G29" s="1">
        <v>6</v>
      </c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4:17">
      <c r="D30" s="35" t="s">
        <v>16</v>
      </c>
      <c r="E30" s="1">
        <v>8</v>
      </c>
      <c r="F30" s="1">
        <v>2</v>
      </c>
      <c r="G30" s="1">
        <v>9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4:17">
      <c r="D31" s="35" t="s">
        <v>17</v>
      </c>
      <c r="E31" s="1">
        <v>3</v>
      </c>
      <c r="F31" s="1">
        <v>10</v>
      </c>
      <c r="G31" s="1">
        <v>7</v>
      </c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4:17">
      <c r="D32" s="35" t="s">
        <v>18</v>
      </c>
      <c r="E32" s="1">
        <v>3</v>
      </c>
      <c r="F32" s="1">
        <v>6</v>
      </c>
      <c r="G32" s="1">
        <v>7</v>
      </c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4:17">
      <c r="D33" s="35" t="s">
        <v>19</v>
      </c>
      <c r="E33" s="1">
        <v>8</v>
      </c>
      <c r="F33" s="1">
        <v>10</v>
      </c>
      <c r="G33" s="1">
        <v>6</v>
      </c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4:17">
      <c r="D34" s="35" t="s">
        <v>24</v>
      </c>
      <c r="E34" s="1">
        <v>1</v>
      </c>
      <c r="F34" s="1">
        <v>8</v>
      </c>
      <c r="G34" s="1">
        <v>5</v>
      </c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4:17">
      <c r="D35" s="35" t="s">
        <v>20</v>
      </c>
      <c r="E35" s="1">
        <v>6</v>
      </c>
      <c r="F35" s="1">
        <v>10</v>
      </c>
      <c r="G35" s="1">
        <v>5</v>
      </c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4:17">
      <c r="D36" s="35" t="s">
        <v>21</v>
      </c>
      <c r="E36" s="1">
        <v>11</v>
      </c>
      <c r="F36" s="1">
        <v>1</v>
      </c>
      <c r="G36" s="1">
        <v>4</v>
      </c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4:17">
      <c r="D37" s="35" t="s">
        <v>22</v>
      </c>
      <c r="E37" s="1">
        <v>4</v>
      </c>
      <c r="F37" s="1">
        <v>3</v>
      </c>
      <c r="G37" s="1">
        <v>1</v>
      </c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4:17">
      <c r="D38" s="106" t="s">
        <v>163</v>
      </c>
      <c r="E38" s="1">
        <v>125</v>
      </c>
      <c r="F38" s="1">
        <v>128</v>
      </c>
      <c r="G38" s="1">
        <v>147</v>
      </c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4:17">
      <c r="D39" s="106" t="s">
        <v>136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4:17">
      <c r="D40" s="107" t="s">
        <v>137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4:17">
      <c r="D41" s="106" t="s">
        <v>161</v>
      </c>
      <c r="E41" s="1" t="s">
        <v>257</v>
      </c>
      <c r="F41" s="1" t="s">
        <v>257</v>
      </c>
      <c r="G41" s="1" t="s">
        <v>257</v>
      </c>
      <c r="H41" s="1"/>
      <c r="I41" s="1"/>
      <c r="J41" s="1"/>
      <c r="K41" s="1"/>
      <c r="L41" s="1"/>
      <c r="M41" s="1"/>
      <c r="N41" s="1"/>
      <c r="O41" s="1"/>
      <c r="P41" s="1"/>
      <c r="Q41" s="1"/>
    </row>
  </sheetData>
  <sheetProtection sheet="1" objects="1" scenarios="1"/>
  <sortState columnSort="1" ref="E5:H41">
    <sortCondition ref="E5"/>
  </sortState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fresh_shipping_schedule">
                <anchor moveWithCells="1" sizeWithCells="1">
                  <from>
                    <xdr:col>0</xdr:col>
                    <xdr:colOff>444500</xdr:colOff>
                    <xdr:row>3</xdr:row>
                    <xdr:rowOff>38100</xdr:rowOff>
                  </from>
                  <to>
                    <xdr:col>2</xdr:col>
                    <xdr:colOff>508000</xdr:colOff>
                    <xdr:row>7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ort_shipping_schedule">
                <anchor moveWithCells="1" sizeWithCells="1">
                  <from>
                    <xdr:col>0</xdr:col>
                    <xdr:colOff>444500</xdr:colOff>
                    <xdr:row>9</xdr:row>
                    <xdr:rowOff>76200</xdr:rowOff>
                  </from>
                  <to>
                    <xdr:col>2</xdr:col>
                    <xdr:colOff>482600</xdr:colOff>
                    <xdr:row>13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5" r:id="rId5" name="Button 3">
              <controlPr defaultSize="0" print="0" autoFill="0" autoPict="0" macro="[0]!Remove_leftmost_column_shipping">
                <anchor moveWithCells="1" sizeWithCells="1">
                  <from>
                    <xdr:col>0</xdr:col>
                    <xdr:colOff>457200</xdr:colOff>
                    <xdr:row>15</xdr:row>
                    <xdr:rowOff>25400</xdr:rowOff>
                  </from>
                  <to>
                    <xdr:col>2</xdr:col>
                    <xdr:colOff>482600</xdr:colOff>
                    <xdr:row>18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8436" r:id="rId6" name="Button 4">
              <controlPr defaultSize="0" print="0" autoFill="0" autoPict="0" macro="[0]!Remove_rightmost_column_shipping">
                <anchor moveWithCells="1" sizeWithCells="1">
                  <from>
                    <xdr:col>0</xdr:col>
                    <xdr:colOff>495300</xdr:colOff>
                    <xdr:row>20</xdr:row>
                    <xdr:rowOff>38100</xdr:rowOff>
                  </from>
                  <to>
                    <xdr:col>2</xdr:col>
                    <xdr:colOff>495300</xdr:colOff>
                    <xdr:row>23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C3:P42"/>
  <sheetViews>
    <sheetView showRuler="0" workbookViewId="0">
      <selection activeCell="K16" sqref="K16"/>
    </sheetView>
  </sheetViews>
  <sheetFormatPr baseColWidth="10" defaultRowHeight="15" x14ac:dyDescent="0"/>
  <cols>
    <col min="1" max="2" width="15" customWidth="1"/>
    <col min="3" max="3" width="24.1640625" bestFit="1" customWidth="1"/>
  </cols>
  <sheetData>
    <row r="3" spans="3:16">
      <c r="C3" s="39" t="s">
        <v>257</v>
      </c>
    </row>
    <row r="4" spans="3:16">
      <c r="C4" s="39" t="s">
        <v>275</v>
      </c>
    </row>
    <row r="5" spans="3:16">
      <c r="C5" s="65" t="s">
        <v>277</v>
      </c>
    </row>
    <row r="6" spans="3:16">
      <c r="C6" s="106" t="s">
        <v>140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3:16">
      <c r="C7" s="106" t="s">
        <v>139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3:16">
      <c r="C8" s="106" t="s">
        <v>23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3:16">
      <c r="C9" s="106" t="s">
        <v>131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3:16">
      <c r="C10" s="106" t="s">
        <v>132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3:16">
      <c r="C11" s="106" t="s">
        <v>143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3:16">
      <c r="C12" s="106" t="s">
        <v>135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3:16">
      <c r="C13" s="106" t="s">
        <v>133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3:16">
      <c r="C14" s="106" t="s">
        <v>134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3:16">
      <c r="C15" s="106" t="s">
        <v>141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3:16">
      <c r="C16" s="106" t="s">
        <v>142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3:16">
      <c r="C17" s="35" t="s">
        <v>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3:16">
      <c r="C18" s="35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3:16">
      <c r="C19" s="35" t="s">
        <v>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3:16">
      <c r="C20" s="35" t="s">
        <v>7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3:16">
      <c r="C21" s="35" t="s">
        <v>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3:16">
      <c r="C22" s="35" t="s">
        <v>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3:16">
      <c r="C23" s="35" t="s">
        <v>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3:16">
      <c r="C24" s="35" t="s">
        <v>10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3:16">
      <c r="C25" s="35" t="s">
        <v>11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3:16">
      <c r="C26" s="35" t="s">
        <v>1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3:16">
      <c r="C27" s="35" t="s">
        <v>12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3:16">
      <c r="C28" s="35" t="s">
        <v>13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3:16">
      <c r="C29" s="35" t="s">
        <v>14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3:16">
      <c r="C30" s="35" t="s">
        <v>15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3:16">
      <c r="C31" s="35" t="s">
        <v>16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3:16">
      <c r="C32" s="35" t="s">
        <v>17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3:16">
      <c r="C33" s="35" t="s">
        <v>18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3:16">
      <c r="C34" s="35" t="s">
        <v>19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3:16">
      <c r="C35" s="35" t="s">
        <v>24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3:16">
      <c r="C36" s="35" t="s">
        <v>20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3:16">
      <c r="C37" s="35" t="s">
        <v>21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3:16">
      <c r="C38" s="35" t="s">
        <v>22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3:16">
      <c r="C39" s="106" t="s">
        <v>163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3:16">
      <c r="C40" s="106" t="s">
        <v>136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3:16">
      <c r="C41" s="107" t="s">
        <v>137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3:16">
      <c r="C42" s="106" t="s">
        <v>161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</sheetData>
  <sheetProtection sheet="1" objects="1" scenarios="1"/>
  <sortState columnSort="1" ref="K7:N8">
    <sortCondition ref="K8"/>
  </sortState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refresh_invoice_schedule">
                <anchor moveWithCells="1" sizeWithCells="1">
                  <from>
                    <xdr:col>0</xdr:col>
                    <xdr:colOff>342900</xdr:colOff>
                    <xdr:row>6</xdr:row>
                    <xdr:rowOff>50800</xdr:rowOff>
                  </from>
                  <to>
                    <xdr:col>1</xdr:col>
                    <xdr:colOff>1003300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ort_invoice_schedule">
                <anchor moveWithCells="1" sizeWithCells="1">
                  <from>
                    <xdr:col>0</xdr:col>
                    <xdr:colOff>355600</xdr:colOff>
                    <xdr:row>11</xdr:row>
                    <xdr:rowOff>165100</xdr:rowOff>
                  </from>
                  <to>
                    <xdr:col>1</xdr:col>
                    <xdr:colOff>1003300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Remove_leftmost_column_invoice">
                <anchor moveWithCells="1" sizeWithCells="1">
                  <from>
                    <xdr:col>0</xdr:col>
                    <xdr:colOff>368300</xdr:colOff>
                    <xdr:row>17</xdr:row>
                    <xdr:rowOff>114300</xdr:rowOff>
                  </from>
                  <to>
                    <xdr:col>1</xdr:col>
                    <xdr:colOff>977900</xdr:colOff>
                    <xdr:row>21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Remove_rightmost_column_invoice">
                <anchor moveWithCells="1" sizeWithCells="1">
                  <from>
                    <xdr:col>0</xdr:col>
                    <xdr:colOff>368300</xdr:colOff>
                    <xdr:row>24</xdr:row>
                    <xdr:rowOff>25400</xdr:rowOff>
                  </from>
                  <to>
                    <xdr:col>1</xdr:col>
                    <xdr:colOff>965200</xdr:colOff>
                    <xdr:row>27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D5:Q42"/>
  <sheetViews>
    <sheetView showRuler="0" topLeftCell="A2" workbookViewId="0">
      <selection activeCell="H18" sqref="H18"/>
    </sheetView>
  </sheetViews>
  <sheetFormatPr baseColWidth="10" defaultRowHeight="15" x14ac:dyDescent="0"/>
  <cols>
    <col min="4" max="4" width="17.5" customWidth="1"/>
  </cols>
  <sheetData>
    <row r="5" spans="4:17">
      <c r="D5" s="65" t="s">
        <v>276</v>
      </c>
    </row>
    <row r="6" spans="4:17">
      <c r="D6" s="106" t="s">
        <v>140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4:17">
      <c r="D7" s="106" t="s">
        <v>139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4:17">
      <c r="D8" s="106" t="s">
        <v>23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4:17">
      <c r="D9" s="106" t="s">
        <v>131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4:17">
      <c r="D10" s="106" t="s">
        <v>132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4:17">
      <c r="D11" s="106" t="s">
        <v>143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4:17">
      <c r="D12" s="106" t="s">
        <v>135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4:17">
      <c r="D13" s="106" t="s">
        <v>133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4:17">
      <c r="D14" s="106" t="s">
        <v>134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4:17">
      <c r="D15" s="106" t="s">
        <v>141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4:17">
      <c r="D16" s="106" t="s">
        <v>142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4:17">
      <c r="D17" s="35" t="s"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4:17">
      <c r="D18" s="35" t="s">
        <v>5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4:17">
      <c r="D19" s="35" t="s">
        <v>6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4:17">
      <c r="D20" s="35" t="s">
        <v>7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4:17">
      <c r="D21" s="35" t="s">
        <v>8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4:17">
      <c r="D22" s="35" t="s">
        <v>3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4:17">
      <c r="D23" s="35" t="s">
        <v>9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4:17">
      <c r="D24" s="35" t="s">
        <v>10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4:17">
      <c r="D25" s="35" t="s">
        <v>11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4:17">
      <c r="D26" s="35" t="s">
        <v>1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4:17">
      <c r="D27" s="35" t="s">
        <v>12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4:17">
      <c r="D28" s="35" t="s">
        <v>13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4:17">
      <c r="D29" s="35" t="s">
        <v>14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4:17">
      <c r="D30" s="35" t="s">
        <v>15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4:17">
      <c r="D31" s="35" t="s">
        <v>16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4:17">
      <c r="D32" s="35" t="s">
        <v>17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4:17">
      <c r="D33" s="35" t="s">
        <v>18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4:17">
      <c r="D34" s="35" t="s">
        <v>19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4:17">
      <c r="D35" s="35" t="s">
        <v>24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4:17">
      <c r="D36" s="35" t="s">
        <v>20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4:17">
      <c r="D37" s="35" t="s">
        <v>21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4:17">
      <c r="D38" s="35" t="s">
        <v>22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4:17">
      <c r="D39" s="106" t="s">
        <v>163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4:17">
      <c r="D40" s="106" t="s">
        <v>136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4:17">
      <c r="D41" s="107" t="s">
        <v>137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4:17">
      <c r="D42" s="106" t="s">
        <v>161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</sheetData>
  <sheetProtection sheet="1" objects="1" scenario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Order_Input</vt:lpstr>
      <vt:lpstr>MasterSchedule</vt:lpstr>
      <vt:lpstr>Ingredient_Inventory</vt:lpstr>
      <vt:lpstr>COTM</vt:lpstr>
      <vt:lpstr>Buyer_Sheet</vt:lpstr>
      <vt:lpstr>Cookie_Inventory</vt:lpstr>
      <vt:lpstr>Baking_Schedule</vt:lpstr>
      <vt:lpstr>Materials_Inventory</vt:lpstr>
      <vt:lpstr>Package_Schedule</vt:lpstr>
      <vt:lpstr>Ship_Schedule</vt:lpstr>
      <vt:lpstr>Invoice_Schedule</vt:lpstr>
      <vt:lpstr>Archive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Isenberg</dc:creator>
  <cp:lastModifiedBy>Will Isenberg</cp:lastModifiedBy>
  <cp:lastPrinted>2016-07-02T22:52:43Z</cp:lastPrinted>
  <dcterms:created xsi:type="dcterms:W3CDTF">2016-06-01T17:22:08Z</dcterms:created>
  <dcterms:modified xsi:type="dcterms:W3CDTF">2018-07-30T22:04:42Z</dcterms:modified>
</cp:coreProperties>
</file>